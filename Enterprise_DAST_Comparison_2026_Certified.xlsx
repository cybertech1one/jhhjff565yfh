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 &amp; Methodology" sheetId="1" state="visible" r:id="rId3"/>
    <sheet name="Master Comparison Matrix" sheetId="2" state="visible" r:id="rId4"/>
    <sheet name="Strengths &amp; Weaknesses" sheetId="3" state="visible" r:id="rId5"/>
    <sheet name="Pricing Detail" sheetId="4" state="visible" r:id="rId6"/>
    <sheet name="Corporate Status &amp; Renames" sheetId="5" state="visible" r:id="rId7"/>
    <sheet name="Weighted Scorecard" sheetId="6" state="visible" r:id="rId8"/>
    <sheet name="RFP Question Bank" sheetId="7" state="visible" r:id="rId9"/>
    <sheet name="Selection Guide" sheetId="8" state="visible" r:id="rId10"/>
  </sheets>
  <definedNames>
    <definedName function="false" hidden="true" localSheetId="1" name="_xlnm._FilterDatabase" vbProcedure="false">'Master Comparison Matrix'!$A$3:$S$23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<sst xmlns="http://schemas.openxmlformats.org/spreadsheetml/2006/main" count="819" uniqueCount="614">
  <si>
    <t xml:space="preserve">Enterprise DAST Tool Comparison — 2026 Certified Edition</t>
  </si>
  <si>
    <t xml:space="preserve">Dynamic Application Security Testing | Vendor evaluation pack | Prepared for vCISO / AppSec procurement</t>
  </si>
  <si>
    <t xml:space="preserve">Item</t>
  </si>
  <si>
    <t xml:space="preserve">Detail</t>
  </si>
  <si>
    <t xml:space="preserve">Document purpose</t>
  </si>
  <si>
    <t xml:space="preserve">A certified, research-backed comparison of the top 20 enterprise DAST tools to support tool selection, RFP scoping, and client advisory. Covers capabilities, strengths/weaknesses, pricing models, corporate status, a weighted scoring template, and an RFP question bank.</t>
  </si>
  <si>
    <t xml:space="preserve">Date prepared</t>
  </si>
  <si>
    <t xml:space="preserve">June 22, 2026</t>
  </si>
  <si>
    <t xml:space="preserve">Scope</t>
  </si>
  <si>
    <t xml:space="preserve">Dynamic Application Security Testing (black-box runtime testing of running web apps &amp; APIs). SAST/SCA/IAST are noted only where a vendor bundles them with DAST.</t>
  </si>
  <si>
    <t xml:space="preserve">Data certification</t>
  </si>
  <si>
    <t xml:space="preserve">Each tool's capabilities and corporate status were verified against vendor sites and independent 2025–2026 sources. Pricing in DAST is overwhelmingly quote-based; published figures here are INDICATIVE third-party / marketplace estimates, not vendor list prices, unless marked 'Verified (public list)'. The 'Data Confidence' column flags this per tool.</t>
  </si>
  <si>
    <t xml:space="preserve">Critical caveat for client deliverables</t>
  </si>
  <si>
    <t xml:space="preserve">Do NOT present indicative pricing to a client as a vendor quote. Always confirm current pricing, licensing unit, and discounting directly with each vendor under NDA. Pricing models (per-target / per-app / per-FQDN / per-contributor / per-scan) differ enough that headline numbers are not directly comparable.</t>
  </si>
  <si>
    <t xml:space="preserve">Market context</t>
  </si>
  <si>
    <t xml:space="preserve">The global DAST market was ~$3.61B in 2025, projected to ~$8.63B by 2031 (~15.6% CAGR, Mordor Intelligence). The enterprise tier is dominated by HCL AppScan, Invicti and Veracode; ZAP leads the free/open-source segment.</t>
  </si>
  <si>
    <t xml:space="preserve">Key 2024–2026 changes reflected</t>
  </si>
  <si>
    <t xml:space="preserve">• Synopsys Software Integrity Group spun out as Black Duck Software (Oct 2024); WhiteHat/Sentinel Dynamic → Black Duck Continuous Dynamic.
• Probely acquired by Snyk (Nov 2024) → now Snyk DAST / Snyk API &amp; Web (Apr 2025).
• OWASP ZAP joined Checkmarx (Sep 2024) — still free, Apache 2.0.
• Fortify WebInspect under OpenText (acquired Micro Focus 2023; HP heritage).
• Netsparker + Acunetix + Kondukto = Invicti Security; Netsparker brand retired into 'Invicti'.
• Burp Suite Enterprise Edition renamed Burp Suite DAST (Apr 2025); Burp Pro list price $399 → $475 (Jan 6 2026).</t>
  </si>
  <si>
    <t xml:space="preserve">How to use the scorecard</t>
  </si>
  <si>
    <t xml:space="preserve">Open the 'Weighted Scorecard' tab. Adjust the weights (blue cells) so they total 100%, score each candidate 1–5 on each criterion (blue cells), and the weighted totals + ranking update automatically.</t>
  </si>
  <si>
    <t xml:space="preserve">Tabs in this workbook</t>
  </si>
  <si>
    <t xml:space="preserve">1) README &amp; Methodology  2) Master Comparison Matrix  3) Strengths &amp; Weaknesses  4) Pricing Detail  5) Corporate Status &amp; Renames  6) Weighted Scorecard (formulas)  7) RFP Question Bank  8) Selection Guide</t>
  </si>
  <si>
    <t xml:space="preserve">Author note</t>
  </si>
  <si>
    <t xml:space="preserve">Cell colours: green = strong/low-risk, amber = caution, red/grey = weak or unverified. Figures are best-available as of the prepared date and should be re-verified before contract.</t>
  </si>
  <si>
    <t xml:space="preserve">Master Comparison Matrix — 20 Enterprise DAST Tools (2026)</t>
  </si>
  <si>
    <t xml:space="preserve">Tier: Open-source / SMB / Dev-first / Enterprise. FP = false-positive rate. Pricing is indicative unless 'Verified'. Use AutoFilter to sort/filter.</t>
  </si>
  <si>
    <t xml:space="preserve">#</t>
  </si>
  <si>
    <t xml:space="preserve">Tool (current name)</t>
  </si>
  <si>
    <t xml:space="preserve">Vendor / Owner</t>
  </si>
  <si>
    <t xml:space="preserve">Tier</t>
  </si>
  <si>
    <t xml:space="preserve">Deployment</t>
  </si>
  <si>
    <t xml:space="preserve">Core Engine / Approach</t>
  </si>
  <si>
    <t xml:space="preserve">API Scanning</t>
  </si>
  <si>
    <t xml:space="preserve">SPA / JS</t>
  </si>
  <si>
    <t xml:space="preserve">Authentication</t>
  </si>
  <si>
    <t xml:space="preserve">CI/CD</t>
  </si>
  <si>
    <t xml:space="preserve">False-Positive Rate</t>
  </si>
  <si>
    <t xml:space="preserve">Compliance Reporting</t>
  </si>
  <si>
    <t xml:space="preserve">AI / Agentic</t>
  </si>
  <si>
    <t xml:space="preserve">Pricing Model</t>
  </si>
  <si>
    <t xml:space="preserve">Indicative Price (2026)</t>
  </si>
  <si>
    <t xml:space="preserve">Free / Trial</t>
  </si>
  <si>
    <t xml:space="preserve">Best For</t>
  </si>
  <si>
    <t xml:space="preserve">Key Limitation</t>
  </si>
  <si>
    <t xml:space="preserve">Data Confidence</t>
  </si>
  <si>
    <t xml:space="preserve">OWASP ZAP</t>
  </si>
  <si>
    <t xml:space="preserve">Checkmarx (OSS, joined 2024)</t>
  </si>
  <si>
    <t xml:space="preserve">Open-source</t>
  </si>
  <si>
    <t xml:space="preserve">Self-hosted (Docker/CLI/desktop)</t>
  </si>
  <si>
    <t xml:space="preserve">Open-source proxy + active/passive scanner; AJAX spider; YAML automation</t>
  </si>
  <si>
    <t xml:space="preserve">REST, SOAP, GraphQL (partial)</t>
  </si>
  <si>
    <t xml:space="preserve">Partial (AJAX spider)</t>
  </si>
  <si>
    <t xml:space="preserve">Form, script, header/token (manual)</t>
  </si>
  <si>
    <t xml:space="preserve">Full (GitHub Actions, Docker, SARIF)</t>
  </si>
  <si>
    <t xml:space="preserve">Medium–High (needs tuning)</t>
  </si>
  <si>
    <t xml:space="preserve">OWASP mapping; basic reports</t>
  </si>
  <si>
    <t xml:space="preserve">None native</t>
  </si>
  <si>
    <t xml:space="preserve">Free (Apache 2.0)</t>
  </si>
  <si>
    <t xml:space="preserve">$0 license (cost = eng./maintenance time)</t>
  </si>
  <si>
    <t xml:space="preserve">Free forever</t>
  </si>
  <si>
    <t xml:space="preserve">Budget teams, CI/CD PR scans, baseline</t>
  </si>
  <si>
    <t xml:space="preserve">No vendor SLA; higher FP; tuning overhead</t>
  </si>
  <si>
    <t xml:space="preserve">Verified</t>
  </si>
  <si>
    <t xml:space="preserve">Burp Suite Professional</t>
  </si>
  <si>
    <t xml:space="preserve">PortSwigger</t>
  </si>
  <si>
    <t xml:space="preserve">Pentester / individual</t>
  </si>
  <si>
    <t xml:space="preserve">Local desktop workstation</t>
  </si>
  <si>
    <t xml:space="preserve">Industry-standard scanner + manual toolkit (Repeater/Intruder); BApp store 500+; Burp AI</t>
  </si>
  <si>
    <t xml:space="preserve">REST, GraphQL, SOAP, WebSocket</t>
  </si>
  <si>
    <t xml:space="preserve">Strong (with operator)</t>
  </si>
  <si>
    <t xml:space="preserve">Form, OAuth, scripted, header</t>
  </si>
  <si>
    <t xml:space="preserve">Limited (CLI/API; not its purpose)</t>
  </si>
  <si>
    <t xml:space="preserve">Low (operator-driven)</t>
  </si>
  <si>
    <t xml:space="preserve">PCI / OWASP reports</t>
  </si>
  <si>
    <t xml:space="preserve">Burp AI</t>
  </si>
  <si>
    <t xml:space="preserve">Per user / year</t>
  </si>
  <si>
    <t xml:space="preserve">$475 / user / yr (raised from $399, eff. Jan 6 2026)</t>
  </si>
  <si>
    <t xml:space="preserve">Free trial; Community free (limited)</t>
  </si>
  <si>
    <t xml:space="preserve">Hands-on manual pentesting / deep testing</t>
  </si>
  <si>
    <t xml:space="preserve">Not built for automated enterprise CI/CD; per-seat</t>
  </si>
  <si>
    <t xml:space="preserve">Burp Suite DAST (ex-Enterprise Edition)</t>
  </si>
  <si>
    <t xml:space="preserve">Enterprise</t>
  </si>
  <si>
    <t xml:space="preserve">Cloud, on-prem, Kubernetes</t>
  </si>
  <si>
    <t xml:space="preserve">Automated Burp scanner; scheduled scans; RBAC; SSO (SAML/LDAP/SCIM); API discovery (Apigee/Azure APIM)</t>
  </si>
  <si>
    <t xml:space="preserve">REST, GraphQL, SOAP</t>
  </si>
  <si>
    <t xml:space="preserve">Good</t>
  </si>
  <si>
    <t xml:space="preserve">Enterprise SSO + scan auth profiles</t>
  </si>
  <si>
    <t xml:space="preserve">Full (Jenkins, GitHub Actions, GitLab, Azure DevOps, TeamCity)</t>
  </si>
  <si>
    <t xml:space="preserve">Low–Medium</t>
  </si>
  <si>
    <t xml:space="preserve">PCI / OWASP; exec dashboards</t>
  </si>
  <si>
    <t xml:space="preserve">Burp AI (token add-on)</t>
  </si>
  <si>
    <t xml:space="preserve">Custom (per website + CI/CD scans + seats)</t>
  </si>
  <si>
    <t xml:space="preserve">Quote-based; third-party est. ~$6K–$50K+/yr; large deployments $30K–$50K+</t>
  </si>
  <si>
    <t xml:space="preserve">Guided deployment trial</t>
  </si>
  <si>
    <t xml:space="preserve">Scaling trusted Burp scans across a portfolio</t>
  </si>
  <si>
    <t xml:space="preserve">Opaque pricing; recent licensing-model change can raise cost</t>
  </si>
  <si>
    <t xml:space="preserve">Indicative</t>
  </si>
  <si>
    <t xml:space="preserve">Invicti (formerly Netsparker)</t>
  </si>
  <si>
    <t xml:space="preserve">Invicti Security</t>
  </si>
  <si>
    <t xml:space="preserve">Cloud SaaS + on-prem</t>
  </si>
  <si>
    <t xml:space="preserve">Proof-Based Scanning (auto-verifies exploitability); DAST+IAST+SAST+SCA+ASPM; asset discovery</t>
  </si>
  <si>
    <t xml:space="preserve">REST, SOAP, GraphQL (proof-validated)</t>
  </si>
  <si>
    <t xml:space="preserve">Strong (browser-based)</t>
  </si>
  <si>
    <t xml:space="preserve">Advanced (form/SSO/MFA), session recording</t>
  </si>
  <si>
    <t xml:space="preserve">Full (Jira, Azure DevOps, GitLab, Jenkins, CircleCI); security gates</t>
  </si>
  <si>
    <t xml:space="preserve">Very Low (proof-based, 99.98% claim)</t>
  </si>
  <si>
    <t xml:space="preserve">PCI-DSS, HIPAA, SOC2, ATO</t>
  </si>
  <si>
    <t xml:space="preserve">Agentic prioritization; AI-guided fixes</t>
  </si>
  <si>
    <t xml:space="preserve">Per FQDN / target / year</t>
  </si>
  <si>
    <t xml:space="preserve">~$7K entry; ~$4–6K (Std) / $7–12K (Premium) per target; Enterprise custom</t>
  </si>
  <si>
    <t xml:space="preserve">PoC license</t>
  </si>
  <si>
    <t xml:space="preserve">Large, compliance-driven orgs needing low FP at scale</t>
  </si>
  <si>
    <t xml:space="preserve">High per-target cost; FQDN licensing seen as restrictive</t>
  </si>
  <si>
    <t xml:space="preserve">Acunetix (by Invicti)</t>
  </si>
  <si>
    <t xml:space="preserve">SMB / mid-market</t>
  </si>
  <si>
    <t xml:space="preserve">Cloud + on-prem</t>
  </si>
  <si>
    <t xml:space="preserve">Fast scanning; automated verification; DAST+IAST; web-server misconfig detection</t>
  </si>
  <si>
    <t xml:space="preserve">REST, SOAP, GraphQL</t>
  </si>
  <si>
    <t xml:space="preserve">Form / SSO, automated login</t>
  </si>
  <si>
    <t xml:space="preserve">Full (Jira, Slack)</t>
  </si>
  <si>
    <t xml:space="preserve">Low (automated verification)</t>
  </si>
  <si>
    <t xml:space="preserve">OWASP, PCI reports</t>
  </si>
  <si>
    <t xml:space="preserve">—</t>
  </si>
  <si>
    <t xml:space="preserve">Per target / year (more transparent than Invicti)</t>
  </si>
  <si>
    <t xml:space="preserve">~$4,500/yr starting (SMB); volume tiers</t>
  </si>
  <si>
    <t xml:space="preserve">Trial</t>
  </si>
  <si>
    <t xml:space="preserve">Smaller teams; fast scans; good UI &amp; reports</t>
  </si>
  <si>
    <t xml:space="preserve">Some API-scanning limits; session-recording quirks</t>
  </si>
  <si>
    <t xml:space="preserve">Veracode DAST (Dynamic Analysis)</t>
  </si>
  <si>
    <t xml:space="preserve">Veracode</t>
  </si>
  <si>
    <t xml:space="preserve">SaaS + ISM Java agent (internal/firewalled apps)</t>
  </si>
  <si>
    <t xml:space="preserve">Black-box DAST scaling to 100s of apps in parallel; Crashtest added SPA + DOM-XSS</t>
  </si>
  <si>
    <t xml:space="preserve">REST, SOAP, GraphQL (OpenAPI import)</t>
  </si>
  <si>
    <t xml:space="preserve">Yes (browser rendering)</t>
  </si>
  <si>
    <t xml:space="preserve">Form, OAuth, API token, Selenium crawl scripts</t>
  </si>
  <si>
    <t xml:space="preserve">Full (~10-min integration)</t>
  </si>
  <si>
    <t xml:space="preserve">Low (&lt;5% claimed)</t>
  </si>
  <si>
    <t xml:space="preserve">Strong; FedRAMP-class; unified with SAST+SCA</t>
  </si>
  <si>
    <t xml:space="preserve">AI-powered fixes</t>
  </si>
  <si>
    <t xml:space="preserve">Per app / scan volume; modular</t>
  </si>
  <si>
    <t xml:space="preserve">DAST ~$20–25K/yr (mid portfolios); full suite $100K+</t>
  </si>
  <si>
    <t xml:space="preserve">DAST Essentials free start</t>
  </si>
  <si>
    <t xml:space="preserve">Regulated enterprises wanting one SAST+DAST+SCA dashboard</t>
  </si>
  <si>
    <t xml:space="preserve">Opaque/complex licensing; high per-app cost; mixed support</t>
  </si>
  <si>
    <t xml:space="preserve">HCL AppScan (DAST / AppScan 360°)</t>
  </si>
  <si>
    <t xml:space="preserve">HCLSoftware (ex-IBM, 2019)</t>
  </si>
  <si>
    <t xml:space="preserve">On-prem (Std/Ent), SaaS (on Cloud), cloud-native (360°), hybrid</t>
  </si>
  <si>
    <t xml:space="preserve">IBM heritage; DAST+SAST+IAST+SCA+API; auto issue correlation; RapidFix agentic triage</t>
  </si>
  <si>
    <t xml:space="preserve">Yes</t>
  </si>
  <si>
    <t xml:space="preserve">Basic/NTLM/form; recorded login (built-in browser only)</t>
  </si>
  <si>
    <t xml:space="preserve">Full (Jenkins plugins, CLI/API)</t>
  </si>
  <si>
    <t xml:space="preserve">Medium</t>
  </si>
  <si>
    <t xml:space="preserve">FIPS 140-3; federal / regulated</t>
  </si>
  <si>
    <t xml:space="preserve">RapidFix (agentic AI)</t>
  </si>
  <si>
    <t xml:space="preserve">Quote-based (on-prem perpetual vs SaaS sub; per app)</t>
  </si>
  <si>
    <t xml:space="preserve">Upper-enterprise; no public list</t>
  </si>
  <si>
    <t xml:space="preserve">CodeSweep free IDE plugin (SAST); 30-day trial</t>
  </si>
  <si>
    <t xml:space="preserve">Federal / regulated; FIPS requirement; on-prem</t>
  </si>
  <si>
    <t xml:space="preserve">Complex UI/setup; MFA recorded-login limits; weak export</t>
  </si>
  <si>
    <t xml:space="preserve">Fortify WebInspect</t>
  </si>
  <si>
    <t xml:space="preserve">OpenText (ex-Micro Focus / HP)</t>
  </si>
  <si>
    <t xml:space="preserve">On-prem + cloud</t>
  </si>
  <si>
    <t xml:space="preserve">Deep assessments; AI login macros; SPA &amp; legacy support; part of Fortify suite (SAST+DAST)</t>
  </si>
  <si>
    <t xml:space="preserve">Yes (AI macros)</t>
  </si>
  <si>
    <t xml:space="preserve">Advanced AI-assisted login macros</t>
  </si>
  <si>
    <t xml:space="preserve">Full</t>
  </si>
  <si>
    <t xml:space="preserve">Federal / FIPS; ALM / Quality Center integration</t>
  </si>
  <si>
    <t xml:space="preserve">AI login macros</t>
  </si>
  <si>
    <t xml:space="preserve">Enterprise custom</t>
  </si>
  <si>
    <t xml:space="preserve">Upper-enterprise; quote-based</t>
  </si>
  <si>
    <t xml:space="preserve">Demo</t>
  </si>
  <si>
    <t xml:space="preserve">Deep assessments; federal; air-gapped / FIPS; Fortify shops</t>
  </si>
  <si>
    <t xml:space="preserve">Legacy feel; heavy; opaque pricing</t>
  </si>
  <si>
    <t xml:space="preserve">Rapid7 InsightAppSec</t>
  </si>
  <si>
    <t xml:space="preserve">Rapid7</t>
  </si>
  <si>
    <t xml:space="preserve">Enterprise / upper-mid</t>
  </si>
  <si>
    <t xml:space="preserve">Cloud SaaS + optional on-prem scan engine</t>
  </si>
  <si>
    <t xml:space="preserve">95+ attack types; Universal Translator (React/Angular/Vue); Attack Replay; blackout windows</t>
  </si>
  <si>
    <t xml:space="preserve">REST (OpenAPI/Swagger)</t>
  </si>
  <si>
    <t xml:space="preserve">Good (Universal Translator)</t>
  </si>
  <si>
    <t xml:space="preserve">Form / SSO / token</t>
  </si>
  <si>
    <t xml:space="preserve">Full (Azure Pipelines, Jenkins, Jira, Selenium)</t>
  </si>
  <si>
    <t xml:space="preserve">PCI-DSS, HIPAA, OWASP; WAF rule generation</t>
  </si>
  <si>
    <t xml:space="preserve">Per app or per scan; annual</t>
  </si>
  <si>
    <t xml:space="preserve">~$175/app/mo (~$2,000/app/yr); median ~$30K contracts</t>
  </si>
  <si>
    <t xml:space="preserve">Free trial</t>
  </si>
  <si>
    <t xml:space="preserve">Rapid7 ecosystem (InsightVM/IDR); dev-friendly validation</t>
  </si>
  <si>
    <t xml:space="preserve">CI/CD integration friction &amp; doc gaps reported; opaque list</t>
  </si>
  <si>
    <t xml:space="preserve">Checkmarx DAST (Checkmarx One)</t>
  </si>
  <si>
    <t xml:space="preserve">Checkmarx</t>
  </si>
  <si>
    <t xml:space="preserve">Cloud-native platform (some adv. features not on-prem)</t>
  </si>
  <si>
    <t xml:space="preserve">DAST inside Checkmarx One (SAST+DAST+SCA+IaC+API+container+ASPM); correlated findings; DAST for AI</t>
  </si>
  <si>
    <t xml:space="preserve">REST, SOAP, GraphQL; API security pillar</t>
  </si>
  <si>
    <t xml:space="preserve">SSO, MFA</t>
  </si>
  <si>
    <t xml:space="preserve">Full (strong DevSecOps)</t>
  </si>
  <si>
    <t xml:space="preserve">Medium (DAST not differentiated standalone)</t>
  </si>
  <si>
    <t xml:space="preserve">Strong policy &amp; compliance; custom templates</t>
  </si>
  <si>
    <t xml:space="preserve">Agentic AI (Assist family); AI-BOM</t>
  </si>
  <si>
    <t xml:space="preserve">Enterprise, opaque; usually bundled with SAST</t>
  </si>
  <si>
    <t xml:space="preserve">Quote-based; bundled</t>
  </si>
  <si>
    <t xml:space="preserve">Existing Checkmarx SAST shops wanting a unified platform</t>
  </si>
  <si>
    <t xml:space="preserve">DAST competent but not standalone-differentiated; heavy setup; slower scans</t>
  </si>
  <si>
    <t xml:space="preserve">Qualys WAS</t>
  </si>
  <si>
    <t xml:space="preserve">Qualys</t>
  </si>
  <si>
    <t xml:space="preserve">Enterprise (SecOps-oriented)</t>
  </si>
  <si>
    <t xml:space="preserve">Cloud-native (Qualys TruRisk Platform)</t>
  </si>
  <si>
    <t xml:space="preserve">Browser-based crawler; TruRisk scoring; parallel scans; part of unified VM platform</t>
  </si>
  <si>
    <t xml:space="preserve">REST, SOAP</t>
  </si>
  <si>
    <t xml:space="preserve">Reasonable (browser crawler)</t>
  </si>
  <si>
    <t xml:space="preserve">Comprehensive</t>
  </si>
  <si>
    <t xml:space="preserve">Enterprise / audit-friendly; gov platform option</t>
  </si>
  <si>
    <t xml:space="preserve">Per app / asset</t>
  </si>
  <si>
    <t xml:space="preserve">~$1,995 for 25 apps; ~$199–250/asset/yr; included in Qualys Gov platform</t>
  </si>
  <si>
    <t xml:space="preserve">Existing Qualys VM customers; one vendor / dashboard</t>
  </si>
  <si>
    <t xml:space="preserve">Built for SOC not CI/CD dev workflow; complex SPA/API config</t>
  </si>
  <si>
    <t xml:space="preserve">Tenable Web App Scanning (WAS)</t>
  </si>
  <si>
    <t xml:space="preserve">Tenable</t>
  </si>
  <si>
    <t xml:space="preserve">Cloud (add-on to Tenable.io / Tenable One)</t>
  </si>
  <si>
    <t xml:space="preserve">Chrome-based crawler; unified risk scoring; cloud-first WAS automation</t>
  </si>
  <si>
    <t xml:space="preserve">REST</t>
  </si>
  <si>
    <t xml:space="preserve">Reasonable (Chrome crawler)</t>
  </si>
  <si>
    <t xml:space="preserve">Form / SSO</t>
  </si>
  <si>
    <t xml:space="preserve">Unified risk score for board reporting</t>
  </si>
  <si>
    <t xml:space="preserve">Add-on; per app</t>
  </si>
  <si>
    <t xml:space="preserve">~$3,000/yr per app; enterprise varies</t>
  </si>
  <si>
    <t xml:space="preserve">Tenable ecosystem (infra VM) customers</t>
  </si>
  <si>
    <t xml:space="preserve">Add-on dependency; SOC-oriented; limited standalone depth</t>
  </si>
  <si>
    <t xml:space="preserve">Black Duck Continuous Dynamic (ex-WhiteHat)</t>
  </si>
  <si>
    <t xml:space="preserve">Black Duck Software (ex-Synopsys SIG, 2024)</t>
  </si>
  <si>
    <t xml:space="preserve">Cloud SaaS (production-safe)</t>
  </si>
  <si>
    <t xml:space="preserve">Continuous Dynamic (ex-WhiteHat): safely scans production apps without a separate test env; portfolio w/ Coverity, Seeker IAST</t>
  </si>
  <si>
    <t xml:space="preserve">Partial–Full</t>
  </si>
  <si>
    <t xml:space="preserve">Low (managed-service heritage)</t>
  </si>
  <si>
    <t xml:space="preserve">7x Gartner MQ Leader heritage; strong compliance</t>
  </si>
  <si>
    <t xml:space="preserve">Quote-based</t>
  </si>
  <si>
    <t xml:space="preserve">Production-safe DAST; Black Duck / Coverity shops</t>
  </si>
  <si>
    <t xml:space="preserve">Point-solution heritage (acquisition-pieced); on-prem complexity; rebrand churn</t>
  </si>
  <si>
    <t xml:space="preserve">StackHawk</t>
  </si>
  <si>
    <t xml:space="preserve">Dev-first / mid-market</t>
  </si>
  <si>
    <t xml:space="preserve">Cloud SaaS + Docker/CLI in your CI/CD (unlimited parallel)</t>
  </si>
  <si>
    <t xml:space="preserve">Built on OWASP ZAP engine; config-as-code (stackhawk.yml); HawkAI endpoint discovery; FlightPath auth (preview)</t>
  </si>
  <si>
    <t xml:space="preserve">REST (OpenAPI), GraphQL, SOAP, gRPC (strong)</t>
  </si>
  <si>
    <t xml:space="preserve">Selenium-based crawling</t>
  </si>
  <si>
    <t xml:space="preserve">Token/form; FlightPath browser auth (preview)</t>
  </si>
  <si>
    <t xml:space="preserve">Full (12+: GitHub/GitLab/Jenkins/CircleCI/Azure/AWS/Bitbucket/Bamboo)</t>
  </si>
  <si>
    <t xml:space="preserve">Inherits ZAP (Medium; tunable)</t>
  </si>
  <si>
    <t xml:space="preserve">PII/PCI/PHI exposure; limited templates (custom reports)</t>
  </si>
  <si>
    <t xml:space="preserve">HawkAI; LLM security risk detection</t>
  </si>
  <si>
    <t xml:space="preserve">Per code-contributor / dev; transparent</t>
  </si>
  <si>
    <t xml:space="preserve">3 tiers $0–$59/dev/mo; volume discount &gt;50 devs; 14-day trial</t>
  </si>
  <si>
    <t xml:space="preserve">14-day trial</t>
  </si>
  <si>
    <t xml:space="preserve">DevSecOps; CI/CD-native; API-heavy / microservices</t>
  </si>
  <si>
    <t xml:space="preserve">Per-contributor cost scales; ZAP-inherited FP; lighter dashboards</t>
  </si>
  <si>
    <t xml:space="preserve">Snyk DAST (formerly Probely)</t>
  </si>
  <si>
    <t xml:space="preserve">Snyk (acquired Probely Nov 2024)</t>
  </si>
  <si>
    <t xml:space="preserve">Dev-first</t>
  </si>
  <si>
    <t xml:space="preserve">Cloud-based scanner (UI config; CI/CD supported)</t>
  </si>
  <si>
    <t xml:space="preserve">Modern DAST + API security; low FP; powers Snyk API &amp; Web; part of Snyk platform</t>
  </si>
  <si>
    <t xml:space="preserve">REST, SOAP (no native GraphQL/gRPC)</t>
  </si>
  <si>
    <t xml:space="preserve">Form / token</t>
  </si>
  <si>
    <t xml:space="preserve">Supported (more UI-driven than pipeline-native)</t>
  </si>
  <si>
    <t xml:space="preserve">Low (proven low FP)</t>
  </si>
  <si>
    <t xml:space="preserve">PCI-DSS</t>
  </si>
  <si>
    <t xml:space="preserve">Snyk platform AI</t>
  </si>
  <si>
    <t xml:space="preserve">Snyk platform pricing (tiered / quote)</t>
  </si>
  <si>
    <t xml:space="preserve">Quote / tiered</t>
  </si>
  <si>
    <t xml:space="preserve">Snyk free-tier ecosystem</t>
  </si>
  <si>
    <t xml:space="preserve">Snyk-standardized shops wanting DAST in-platform</t>
  </si>
  <si>
    <t xml:space="preserve">No native GraphQL/gRPC; cloud-scan concurrency limits by tier; integration maturing</t>
  </si>
  <si>
    <t xml:space="preserve">Detectify</t>
  </si>
  <si>
    <t xml:space="preserve">Mid-market / EASM</t>
  </si>
  <si>
    <t xml:space="preserve">Cloud SaaS</t>
  </si>
  <si>
    <t xml:space="preserve">Surface Monitoring (subdomains/DNS) + Application Scanning (fuzzing); crowdsourced research</t>
  </si>
  <si>
    <t xml:space="preserve">Limited (no strong API security testing)</t>
  </si>
  <si>
    <t xml:space="preserve">Limited</t>
  </si>
  <si>
    <t xml:space="preserve">Limited (no complex auth)</t>
  </si>
  <si>
    <t xml:space="preserve">Partial</t>
  </si>
  <si>
    <t xml:space="preserve">Basic</t>
  </si>
  <si>
    <t xml:space="preserve">Per month tiers</t>
  </si>
  <si>
    <t xml:space="preserve">Starter ~$50/mo; Professional ~$85/mo; Enterprise quote</t>
  </si>
  <si>
    <t xml:space="preserve">External attack-surface monitoring; lightweight</t>
  </si>
  <si>
    <t xml:space="preserve">No internal app scanning; weak API &amp; complex auth — not for broad enterprise app testing</t>
  </si>
  <si>
    <t xml:space="preserve">AppCheck</t>
  </si>
  <si>
    <t xml:space="preserve">AppCheck Ltd (UK)</t>
  </si>
  <si>
    <t xml:space="preserve">Mid-market / enterprise</t>
  </si>
  <si>
    <t xml:space="preserve">Pentester-built; automated pen-test-style deep scanning; 100,000+ vulns + zero-day heuristics; hybrid crawling</t>
  </si>
  <si>
    <t xml:space="preserve">REST, SOAP, GraphQL, WSDL</t>
  </si>
  <si>
    <t xml:space="preserve">Yes (hybrid crawling)</t>
  </si>
  <si>
    <t xml:space="preserve">OWASP; detailed remediation</t>
  </si>
  <si>
    <t xml:space="preserve">Automated penetration-style depth across web/API/network/cloud</t>
  </si>
  <si>
    <t xml:space="preserve">Interface complexity; limited customization at large scale</t>
  </si>
  <si>
    <t xml:space="preserve">Beagle Security</t>
  </si>
  <si>
    <t xml:space="preserve">Dev-first / modern entrant</t>
  </si>
  <si>
    <t xml:space="preserve">Agentic / AI-driven pen testing; real-world attack simulation; business-logic &amp; authz; deep API incl. GraphQL</t>
  </si>
  <si>
    <t xml:space="preserve">REST, GraphQL</t>
  </si>
  <si>
    <t xml:space="preserve">Advanced auth handling</t>
  </si>
  <si>
    <t xml:space="preserve">Very Low (near-zero FP claim)</t>
  </si>
  <si>
    <t xml:space="preserve">Compliance-ready reports</t>
  </si>
  <si>
    <t xml:space="preserve">Agentic AI pen testing</t>
  </si>
  <si>
    <t xml:space="preserve">Transparent; usage-based</t>
  </si>
  <si>
    <t xml:space="preserve">From ~$119/mo (~$1,188/yr)</t>
  </si>
  <si>
    <t xml:space="preserve">Modern teams wanting affordable AI-driven DAST with low FP</t>
  </si>
  <si>
    <t xml:space="preserve">Newer/smaller vendor; less enterprise track record; vendor-positioned claims</t>
  </si>
  <si>
    <t xml:space="preserve">Indicative (vendor-positioned)</t>
  </si>
  <si>
    <t xml:space="preserve">Aikido Security</t>
  </si>
  <si>
    <t xml:space="preserve">Aikido</t>
  </si>
  <si>
    <t xml:space="preserve">Dev-first all-in-one</t>
  </si>
  <si>
    <t xml:space="preserve">Cloud-native</t>
  </si>
  <si>
    <t xml:space="preserve">All-in-one (SAST/DAST/SCA/IaC/containers/secrets/CSPM/AI pentests); DAST w/ autofix; 50,000+ customers</t>
  </si>
  <si>
    <t xml:space="preserve">REST, GraphQL; API security</t>
  </si>
  <si>
    <t xml:space="preserve">Full (IDE / PR gating)</t>
  </si>
  <si>
    <t xml:space="preserve">Low (auto-triage)</t>
  </si>
  <si>
    <t xml:space="preserve">Automated compliance</t>
  </si>
  <si>
    <t xml:space="preserve">AI Autotriage / Autofix; AI pentests</t>
  </si>
  <si>
    <t xml:space="preserve">Tiered (free tier + paid)</t>
  </si>
  <si>
    <t xml:space="preserve">Free tier; transparent paid tiers</t>
  </si>
  <si>
    <t xml:space="preserve">Free tier</t>
  </si>
  <si>
    <t xml:space="preserve">Startups→enterprise wanting consolidated low-cost platform</t>
  </si>
  <si>
    <t xml:space="preserve">DAST is one module of a broad suite (breadth vs depth); newer</t>
  </si>
  <si>
    <t xml:space="preserve">Escape</t>
  </si>
  <si>
    <t xml:space="preserve">Escape (escape.tech)</t>
  </si>
  <si>
    <t xml:space="preserve">Dev-first / API-DAST</t>
  </si>
  <si>
    <t xml:space="preserve">API-focused DAST + business-logic testing; compliance matrix; agentless; GraphQL-native heritage</t>
  </si>
  <si>
    <t xml:space="preserve">REST, GraphQL (strong), SOAP</t>
  </si>
  <si>
    <t xml:space="preserve">Low</t>
  </si>
  <si>
    <t xml:space="preserve">Comprehensive reporting + compliance matrix (DORA etc.)</t>
  </si>
  <si>
    <t xml:space="preserve">AI-assisted</t>
  </si>
  <si>
    <t xml:space="preserve">API-first orgs; business-logic + compliance posture</t>
  </si>
  <si>
    <t xml:space="preserve">Newer; narrower brand recognition vs incumbents</t>
  </si>
  <si>
    <t xml:space="preserve">Strengths &amp; Weaknesses — by Tool</t>
  </si>
  <si>
    <t xml:space="preserve">What each tool is genuinely good at, where it is weak, and the buyer profile it fits best.</t>
  </si>
  <si>
    <t xml:space="preserve">Tool</t>
  </si>
  <si>
    <t xml:space="preserve">Strengths (good at)</t>
  </si>
  <si>
    <t xml:space="preserve">Weaknesses / watch-outs</t>
  </si>
  <si>
    <t xml:space="preserve">Ideal buyer profile</t>
  </si>
  <si>
    <t xml:space="preserve">Free &amp; open-source; huge community; scriptable YAML automation; great for CI/CD PR gates; SARIF output.</t>
  </si>
  <si>
    <t xml:space="preserve">Higher false positives; manual tuning; no commercial SLA/support; weaker SPA/auth handling out of the box.</t>
  </si>
  <si>
    <t xml:space="preserve">Cost-sensitive teams, students, and pipelines that already have security expertise to tune it.</t>
  </si>
  <si>
    <t xml:space="preserve">Gold standard for manual testing; unmatched Repeater/Intruder; 500+ BApp extensions; low FP with a skilled operator.</t>
  </si>
  <si>
    <t xml:space="preserve">Per-seat; workstation-bound; not designed for automated, scheduled, portfolio-scale scanning.</t>
  </si>
  <si>
    <t xml:space="preserve">A security engineer doing hands-on assessments and bug-bounty-style depth.</t>
  </si>
  <si>
    <t xml:space="preserve">Burp Suite DAST</t>
  </si>
  <si>
    <t xml:space="preserve">Same trusted Burp engine, automated &amp; scheduled; RBAC/SSO; strong CI/CD; API discovery.</t>
  </si>
  <si>
    <t xml:space="preserve">Opaque pricing; the 2025 licensing-model change (websites + CI/CD scans) can surprise on cost.</t>
  </si>
  <si>
    <t xml:space="preserve">Orgs that trust Burp and want to scale it across many sites with DevSecOps.</t>
  </si>
  <si>
    <t xml:space="preserve">Invicti</t>
  </si>
  <si>
    <t xml:space="preserve">Proof-Based Scanning auto-confirms exploitable findings → very low FP; broad coverage; ASPM; on-prem option.</t>
  </si>
  <si>
    <t xml:space="preserve">Premium per-target/FQDN pricing; licensing felt restrictive by some; cost grows fast with sprawl.</t>
  </si>
  <si>
    <t xml:space="preserve">Large, compliance-driven enterprises where eliminating FP noise at scale is the binding constraint.</t>
  </si>
  <si>
    <t xml:space="preserve">Acunetix</t>
  </si>
  <si>
    <t xml:space="preserve">Lower-cost Invicti-family option; fast; clean UI; good reports; more transparent pricing.</t>
  </si>
  <si>
    <t xml:space="preserve">Less enterprise automation than Invicti; some API/session-recording limits.</t>
  </si>
  <si>
    <t xml:space="preserve">SMB / mid-market teams wanting accurate scans without enterprise overhead.</t>
  </si>
  <si>
    <t xml:space="preserve">Veracode DAST</t>
  </si>
  <si>
    <t xml:space="preserve">Unified dashboard with SAST+SCA; scales to hundreds of apps; ISM agent for firewalled apps; &lt;5% FP claim; FedRAMP-class.</t>
  </si>
  <si>
    <t xml:space="preserve">Complex, opaque licensing; high per-app TCO; support quality is a common complaint.</t>
  </si>
  <si>
    <t xml:space="preserve">Regulated enterprises consolidating all AST on one policy-driven platform.</t>
  </si>
  <si>
    <t xml:space="preserve">HCL AppScan</t>
  </si>
  <si>
    <t xml:space="preserve">Deep IBM heritage; FIPS 140-3; flexible on-prem/SaaS/hybrid; SAST/DAST/IAST correlation; RapidFix AI triage.</t>
  </si>
  <si>
    <t xml:space="preserve">Complex UI &amp; setup; recorded-login limited to built-in browser (MFA pain); weak export.</t>
  </si>
  <si>
    <t xml:space="preserve">Federal/regulated and on-prem-mandated shops needing validated crypto.</t>
  </si>
  <si>
    <t xml:space="preserve">Battle-tested deep assessments; AI login macros handle tough auth/SPA; tight Fortify-suite integration; federal pedigree.</t>
  </si>
  <si>
    <t xml:space="preserve">Heavyweight; legacy feel; opaque pricing; steeper operational burden.</t>
  </si>
  <si>
    <t xml:space="preserve">Air-gapped / FIPS environments and existing Fortify customers.</t>
  </si>
  <si>
    <t xml:space="preserve">95+ attack types; Universal Translator for SPA; Attack Replay lets devs validate fixes; clean UI; on-prem engine option.</t>
  </si>
  <si>
    <t xml:space="preserve">Reported CI/CD-integration friction and documentation gaps; list pricing not published.</t>
  </si>
  <si>
    <t xml:space="preserve">Rapid7 (InsightVM/IDR) ecosystem customers wanting one risk picture.</t>
  </si>
  <si>
    <t xml:space="preserve">Checkmarx DAST</t>
  </si>
  <si>
    <t xml:space="preserve">Correlated with leading SAST in one platform; strong compliance reporting; agentic AI; broad AST breadth.</t>
  </si>
  <si>
    <t xml:space="preserve">DAST not differentiated standalone; heavy setup &amp; maintenance; slower scans; opaque/bundled pricing.</t>
  </si>
  <si>
    <t xml:space="preserve">Existing Checkmarx SAST shops consolidating onto Checkmarx One.</t>
  </si>
  <si>
    <t xml:space="preserve">Sits in the Qualys platform you may already own; TruRisk scoring; audit-friendly; parallel scans; one vendor.</t>
  </si>
  <si>
    <t xml:space="preserve">Built for the SOC workflow, not CI/CD; complex SPA/API configuration.</t>
  </si>
  <si>
    <t xml:space="preserve">Enterprises already standardized on Qualys for vulnerability management.</t>
  </si>
  <si>
    <t xml:space="preserve">Tenable WAS</t>
  </si>
  <si>
    <t xml:space="preserve">Unified risk score across infra + web; Chrome-based crawler; easy add-on for Tenable customers.</t>
  </si>
  <si>
    <t xml:space="preserve">Add-on dependency on Tenable.io/One; SOC-oriented; limited standalone depth.</t>
  </si>
  <si>
    <t xml:space="preserve">Tenable infrastructure-VM customers extending into web app coverage.</t>
  </si>
  <si>
    <t xml:space="preserve">Black Duck Continuous Dynamic</t>
  </si>
  <si>
    <t xml:space="preserve">Production-safe scanning (no separate test env); 7x Gartner MQ Leader heritage; pairs with Coverity &amp; SCA.</t>
  </si>
  <si>
    <t xml:space="preserve">Acquisition-pieced portfolio; on-prem complexity; recent rebrand/ownership churn.</t>
  </si>
  <si>
    <t xml:space="preserve">Production-testing requirements and Black Duck/Coverity-aligned shops.</t>
  </si>
  <si>
    <t xml:space="preserve">Truly CI/CD-native; config-as-code in the repo; excellent API coverage incl. GraphQL &amp; gRPC; transparent per-dev pricing; runs locally with unlimited parallel scans.</t>
  </si>
  <si>
    <t xml:space="preserve">Inherits ZAP's FP profile; lighter dashboards/reporting; per-contributor cost scales with team size.</t>
  </si>
  <si>
    <t xml:space="preserve">DevSecOps teams that want security tests version-controlled and gated in PRs.</t>
  </si>
  <si>
    <t xml:space="preserve">Snyk DAST (Probely)</t>
  </si>
  <si>
    <t xml:space="preserve">Low false positives; clean UX; lives in the broader Snyk developer platform (SAST/SCA/IaC).</t>
  </si>
  <si>
    <t xml:space="preserve">No native GraphQL/gRPC; cloud-scan concurrency limits by tier; more UI-driven than pipeline-native.</t>
  </si>
  <si>
    <t xml:space="preserve">Teams already standardized on Snyk wanting DAST under one roof.</t>
  </si>
  <si>
    <t xml:space="preserve">Effortless setup; strong external attack-surface monitoring; crowdsourced research feed.</t>
  </si>
  <si>
    <t xml:space="preserve">No internal app scanning; weak API &amp; complex-auth support — not a full enterprise app-testing tool.</t>
  </si>
  <si>
    <t xml:space="preserve">Continuous monitoring of public-facing assets and subdomains (EASM).</t>
  </si>
  <si>
    <t xml:space="preserve">Pentester-built depth; 100k+ checks + zero-day heuristics; broad scope (web/API/network/cloud); good remediation detail.</t>
  </si>
  <si>
    <t xml:space="preserve">UI complexity; limited customization at very large scale; quote-only pricing.</t>
  </si>
  <si>
    <t xml:space="preserve">Teams wanting automated penetration-test-style depth in one scanner.</t>
  </si>
  <si>
    <t xml:space="preserve">AI/agentic testing targets business-logic &amp; authz; deep API incl. GraphQL; transparent, low entry price; low FP claim.</t>
  </si>
  <si>
    <t xml:space="preserve">Newer/smaller vendor; less enterprise track record; many claims are vendor-positioned — validate in a PoC.</t>
  </si>
  <si>
    <t xml:space="preserve">Modern dev teams wanting affordable AI-driven DAST.</t>
  </si>
  <si>
    <t xml:space="preserve">Consolidates many tools (SAST/DAST/SCA/IaC/containers/secrets); autofix &amp; auto-triage; transparent pricing; large customer base.</t>
  </si>
  <si>
    <t xml:space="preserve">DAST is one module of a wide suite (breadth over depth); relatively new for deep DAST.</t>
  </si>
  <si>
    <t xml:space="preserve">Startups→mid-market wanting one affordable consolidated platform.</t>
  </si>
  <si>
    <t xml:space="preserve">API-first &amp; business-logic focus; strong GraphQL; agentless; compliance matrix incl. DORA.</t>
  </si>
  <si>
    <t xml:space="preserve">Newer brand; less recognition vs incumbents; quote-based.</t>
  </si>
  <si>
    <t xml:space="preserve">API-heavy organizations prioritizing business-logic and compliance posture.</t>
  </si>
  <si>
    <t xml:space="preserve">Pricing Detail (2026) — Indicative, Verify Before Contract</t>
  </si>
  <si>
    <t xml:space="preserve">DAST pricing is overwhelmingly quote-based. Treat non-'Verified' figures as third-party / marketplace estimates only.</t>
  </si>
  <si>
    <t xml:space="preserve">Pricing model</t>
  </si>
  <si>
    <t xml:space="preserve">Indicative annual cost (2026)</t>
  </si>
  <si>
    <t xml:space="preserve">Primary cost drivers</t>
  </si>
  <si>
    <t xml:space="preserve">Free tier / trial</t>
  </si>
  <si>
    <t xml:space="preserve">Public list price?</t>
  </si>
  <si>
    <t xml:space="preserve">Data confidence</t>
  </si>
  <si>
    <t xml:space="preserve">Free / open-source (Apache 2.0)</t>
  </si>
  <si>
    <t xml:space="preserve">$0 license</t>
  </si>
  <si>
    <t xml:space="preserve">Engineering &amp; maintenance time; CI infra</t>
  </si>
  <si>
    <t xml:space="preserve">Yes (free forever)</t>
  </si>
  <si>
    <t xml:space="preserve">Yes — free</t>
  </si>
  <si>
    <t xml:space="preserve">$475 / user / yr (was $399; rise eff. 6 Jan 2026)</t>
  </si>
  <si>
    <t xml:space="preserve"># of seats; multi-year discount</t>
  </si>
  <si>
    <t xml:space="preserve">Community free + trial</t>
  </si>
  <si>
    <t xml:space="preserve">Yes — public list</t>
  </si>
  <si>
    <t xml:space="preserve">Verified (public list)</t>
  </si>
  <si>
    <t xml:space="preserve">Per website + CI/CD scans + seats (changed 2025)</t>
  </si>
  <si>
    <t xml:space="preserve">Quote-only; third-party est. ~$6K–$50K+/yr</t>
  </si>
  <si>
    <t xml:space="preserve"># sites, CI/CD scan volume, AI tokens, seats</t>
  </si>
  <si>
    <t xml:space="preserve">Guided trial</t>
  </si>
  <si>
    <t xml:space="preserve">No</t>
  </si>
  <si>
    <t xml:space="preserve">Per FQDN / target / year; 3 editions</t>
  </si>
  <si>
    <t xml:space="preserve">~$7K entry; ~$4–6K (Std)/$7–12K (Premium) per target; Enterprise custom</t>
  </si>
  <si>
    <t xml:space="preserve"># targets/FQDNs, edition, deployment; 2–3 yr = 20–30% off</t>
  </si>
  <si>
    <t xml:space="preserve">Indicative (marketplace est.)</t>
  </si>
  <si>
    <t xml:space="preserve">Per target / year</t>
  </si>
  <si>
    <t xml:space="preserve">~$4,500/yr starting (SMB)</t>
  </si>
  <si>
    <t xml:space="preserve"># targets, edition</t>
  </si>
  <si>
    <t xml:space="preserve">Partly</t>
  </si>
  <si>
    <t xml:space="preserve">DAST ~$20–25K/yr (mid); full suite $100K+</t>
  </si>
  <si>
    <t xml:space="preserve"># apps, scan frequency/depth, bundling</t>
  </si>
  <si>
    <t xml:space="preserve">On-prem perpetual vs SaaS subscription; per app</t>
  </si>
  <si>
    <t xml:space="preserve">Quote-only (upper-enterprise)</t>
  </si>
  <si>
    <t xml:space="preserve">Deployment model, app count, 360° modules</t>
  </si>
  <si>
    <t xml:space="preserve">CodeSweep (SAST) free; 30-day trial</t>
  </si>
  <si>
    <t xml:space="preserve">Deployment, suite bundling, support tier</t>
  </si>
  <si>
    <t xml:space="preserve">App count, cloud vs on-prem engine, bundling, managed service</t>
  </si>
  <si>
    <t xml:space="preserve">Enterprise; typically bundled with SAST</t>
  </si>
  <si>
    <t xml:space="preserve">Quote-only / bundled</t>
  </si>
  <si>
    <t xml:space="preserve">Platform modules, app count, contract size</t>
  </si>
  <si>
    <t xml:space="preserve">~$1,995 for 25 apps; ~$199–250/asset/yr</t>
  </si>
  <si>
    <t xml:space="preserve"># apps/assets; gov-platform inclusion</t>
  </si>
  <si>
    <t xml:space="preserve">Add-on to Tenable.io / Tenable One; per app</t>
  </si>
  <si>
    <t xml:space="preserve">~$3,000/yr per app</t>
  </si>
  <si>
    <t xml:space="preserve">App count; existing Tenable footprint</t>
  </si>
  <si>
    <t xml:space="preserve">Quote-only</t>
  </si>
  <si>
    <t xml:space="preserve">Apps, modules (Coverity/SCA/Seeker), deployment</t>
  </si>
  <si>
    <t xml:space="preserve">Per code-contributor / dev; 3 tiers</t>
  </si>
  <si>
    <t xml:space="preserve">$0–$59/dev/mo; volume discount &gt;50 devs</t>
  </si>
  <si>
    <t xml:space="preserve"># contributing developers; tier</t>
  </si>
  <si>
    <t xml:space="preserve">14-day trial (no permanent free tier)</t>
  </si>
  <si>
    <t xml:space="preserve">Yes — tiers public</t>
  </si>
  <si>
    <t xml:space="preserve">Indicative (tiers public)</t>
  </si>
  <si>
    <t xml:space="preserve">Snyk platform pricing; tiered / quote</t>
  </si>
  <si>
    <t xml:space="preserve">Targets/scans; Snyk platform bundle</t>
  </si>
  <si>
    <t xml:space="preserve">Tier; # of assets/scan profiles</t>
  </si>
  <si>
    <t xml:space="preserve">Scope (web/API/network/cloud), # targets</t>
  </si>
  <si>
    <t xml:space="preserve">Usage / # apps / scans</t>
  </si>
  <si>
    <t xml:space="preserve">Indicative (vendor)</t>
  </si>
  <si>
    <t xml:space="preserve">Tiered (free + paid)</t>
  </si>
  <si>
    <t xml:space="preserve">Modules, repos/seats</t>
  </si>
  <si>
    <t xml:space="preserve"># APIs/apps, modules</t>
  </si>
  <si>
    <t xml:space="preserve">Corporate Status &amp; Renames — Don't Quote Stale Names</t>
  </si>
  <si>
    <t xml:space="preserve">Acquisitions, spin-outs and rebrands that changed vendor/product names since older comparison sheets were written.</t>
  </si>
  <si>
    <t xml:space="preserve">Former name</t>
  </si>
  <si>
    <t xml:space="preserve">Current name</t>
  </si>
  <si>
    <t xml:space="preserve">When</t>
  </si>
  <si>
    <t xml:space="preserve">What happened</t>
  </si>
  <si>
    <t xml:space="preserve">Why it matters for your sheet</t>
  </si>
  <si>
    <t xml:space="preserve">Synopsys (Software Integrity Group)</t>
  </si>
  <si>
    <t xml:space="preserve">Black Duck Software, Inc.</t>
  </si>
  <si>
    <t xml:space="preserve">2024</t>
  </si>
  <si>
    <t xml:space="preserve">Spun out of Synopsys (Clearlake + Francisco Partners, ~$2.1B). Independent AppSec firm.</t>
  </si>
  <si>
    <t xml:space="preserve">Your sheet's 'Synopsys' = Black Duck now.</t>
  </si>
  <si>
    <t xml:space="preserve">WhiteHat Security / Sentinel Dynamic</t>
  </si>
  <si>
    <t xml:space="preserve">2022→2024</t>
  </si>
  <si>
    <t xml:space="preserve">Synopsys acquired WhiteHat (2022); product moved to Black Duck after spin-out and renamed Continuous Dynamic.</t>
  </si>
  <si>
    <t xml:space="preserve">The Synopsys/WhiteHat DAST is now Black Duck Continuous Dynamic.</t>
  </si>
  <si>
    <t xml:space="preserve">Probely</t>
  </si>
  <si>
    <t xml:space="preserve">Snyk DAST / Snyk API &amp; Web</t>
  </si>
  <si>
    <t xml:space="preserve">Nov 2024 → Apr 2025</t>
  </si>
  <si>
    <t xml:space="preserve">Acquired by Snyk; Probely engine now powers Snyk API &amp; Web (GA Apr 2025).</t>
  </si>
  <si>
    <t xml:space="preserve">Your sheet's 'Probely' = Snyk DAST now.</t>
  </si>
  <si>
    <t xml:space="preserve">OWASP ZAP (ZAProxy)</t>
  </si>
  <si>
    <t xml:space="preserve">OWASP ZAP (under Checkmarx)</t>
  </si>
  <si>
    <t xml:space="preserve">Sep 2024</t>
  </si>
  <si>
    <t xml:space="preserve">Core team joined Checkmarx; remains free &amp; open-source (Apache 2.0).</t>
  </si>
  <si>
    <t xml:space="preserve">Still free; stewardship changed, license unchanged.</t>
  </si>
  <si>
    <t xml:space="preserve">Fortify WebInspect (HP → Micro Focus)</t>
  </si>
  <si>
    <t xml:space="preserve">OpenText Fortify WebInspect</t>
  </si>
  <si>
    <t xml:space="preserve">2023</t>
  </si>
  <si>
    <t xml:space="preserve">OpenText acquired Micro Focus (which held HP Enterprise Software incl. Fortify).</t>
  </si>
  <si>
    <t xml:space="preserve">Vendor is now OpenText.</t>
  </si>
  <si>
    <t xml:space="preserve">IBM AppScan</t>
  </si>
  <si>
    <t xml:space="preserve">2019</t>
  </si>
  <si>
    <t xml:space="preserve">HCL acquired IBM AppScan; now AppScan 360° platform with RapidFix AI.</t>
  </si>
  <si>
    <t xml:space="preserve">Your sheet's 'IBM HCL AppScan' and 'HCL AppScan' are the SAME product — de-duplicated here.</t>
  </si>
  <si>
    <t xml:space="preserve">Netsparker</t>
  </si>
  <si>
    <t xml:space="preserve">2021</t>
  </si>
  <si>
    <t xml:space="preserve">Netsparker rebranded to Invicti; later combined with Acunetix + Kondukto (ASPM).</t>
  </si>
  <si>
    <t xml:space="preserve">Your sheet's 'Netsparker' and 'Invicti DAST' are the SAME company; Netsparker brand retired.</t>
  </si>
  <si>
    <t xml:space="preserve">2018</t>
  </si>
  <si>
    <t xml:space="preserve">Owned by Invicti Security; positioned as the SMB-friendly sibling to Invicti.</t>
  </si>
  <si>
    <t xml:space="preserve">Distinct product, same parent as Invicti.</t>
  </si>
  <si>
    <t xml:space="preserve">Burp Suite Enterprise Edition</t>
  </si>
  <si>
    <t xml:space="preserve">Apr 2025</t>
  </si>
  <si>
    <t xml:space="preserve">PortSwigger renamed Enterprise → DAST and moved from concurrency/agent to website + CI/CD-scan licensing.</t>
  </si>
  <si>
    <t xml:space="preserve">'Burp Suite (Enterprise)' on your sheet = Burp Suite DAST.</t>
  </si>
  <si>
    <t xml:space="preserve">Qualys WAS vs Qualys API Security</t>
  </si>
  <si>
    <t xml:space="preserve">Qualys (one platform)</t>
  </si>
  <si>
    <t xml:space="preserve">WAS = web app scanning; API Security is a related module. Both sit on the Qualys TruRisk Platform.</t>
  </si>
  <si>
    <t xml:space="preserve">Your sheet listed two Qualys rows; they're modules of one platform.</t>
  </si>
  <si>
    <t xml:space="preserve">Weighted Scorecard — Decision Template (auto-calculating)</t>
  </si>
  <si>
    <t xml:space="preserve">Set weights (blue) to total 100%. Score each candidate 1–5 (blue). Weighted totals &amp; rank update automatically.</t>
  </si>
  <si>
    <t xml:space="preserve">Criterion</t>
  </si>
  <si>
    <t xml:space="preserve">Weight</t>
  </si>
  <si>
    <t xml:space="preserve">Candidate D</t>
  </si>
  <si>
    <t xml:space="preserve">Candidate E</t>
  </si>
  <si>
    <t xml:space="preserve">Coverage (SPA, API, auth depth)</t>
  </si>
  <si>
    <t xml:space="preserve">Accuracy / low false positives</t>
  </si>
  <si>
    <t xml:space="preserve">Scalability (portfolio, parallel scans)</t>
  </si>
  <si>
    <t xml:space="preserve">Deployment flexibility (SaaS/on-prem/FIPS)</t>
  </si>
  <si>
    <t xml:space="preserve">DevSecOps / CI-CD nativeness</t>
  </si>
  <si>
    <t xml:space="preserve">Compliance reporting (PCI/HIPAA/SOC2/FedRAMP)</t>
  </si>
  <si>
    <t xml:space="preserve">Risk prioritization &amp; SAST/SCA correlation</t>
  </si>
  <si>
    <t xml:space="preserve">AI &amp; automation (triage / autofix)</t>
  </si>
  <si>
    <t xml:space="preserve">Pricing &amp; total cost of ownership</t>
  </si>
  <si>
    <t xml:space="preserve">Vendor stability, support &amp; roadmap</t>
  </si>
  <si>
    <t xml:space="preserve">Weight check (must = 100%)</t>
  </si>
  <si>
    <t xml:space="preserve">WEIGHTED SCORE (out of 5)</t>
  </si>
  <si>
    <t xml:space="preserve">NORMALIZED (0–100)</t>
  </si>
  <si>
    <t xml:space="preserve">RANK (1 = best)</t>
  </si>
  <si>
    <t xml:space="preserve">Blue cells = your inputs (weights &amp; 1–5 scores). Black/white = auto-calculated. Sample scores shown for 3 tools are illustrative — replace with your own assessment. Add candidates by editing the header names in row 4.</t>
  </si>
  <si>
    <t xml:space="preserve">RFP / Vendor Question Bank — What to Ask</t>
  </si>
  <si>
    <t xml:space="preserve">Drop these into an RFP or PoC scoping call. Capture answers and a 1–5 rating to feed the Weighted Scorecard.</t>
  </si>
  <si>
    <t xml:space="preserve">Theme</t>
  </si>
  <si>
    <t xml:space="preserve">Question to ask the vendor</t>
  </si>
  <si>
    <t xml:space="preserve">Vendor answer (fill in)</t>
  </si>
  <si>
    <t xml:space="preserve">Rating 1–5</t>
  </si>
  <si>
    <t xml:space="preserve">Coverage</t>
  </si>
  <si>
    <t xml:space="preserve">Which SPA frameworks (React, Angular, Vue) do you render natively, and how?</t>
  </si>
  <si>
    <t xml:space="preserve">Do you natively test REST, SOAP, GraphQL and gRPC APIs? Which require an OpenAPI/Swagger spec?</t>
  </si>
  <si>
    <t xml:space="preserve">How do you discover undocumented / shadow API endpoints?</t>
  </si>
  <si>
    <t xml:space="preserve">How do you handle SSO, MFA, OAuth and multi-step / scripted login? Any browser limitations for recorded logins?</t>
  </si>
  <si>
    <t xml:space="preserve">Can you maintain authenticated sessions and test role-based authorization boundaries?</t>
  </si>
  <si>
    <t xml:space="preserve">Accuracy</t>
  </si>
  <si>
    <t xml:space="preserve">What is your measured/median false-positive rate, and how do you verify exploitability (proof-based / attack replay)?</t>
  </si>
  <si>
    <t xml:space="preserve">Do you support re-test / fix-validation workflows for developers?</t>
  </si>
  <si>
    <t xml:space="preserve">Scale &amp; performance</t>
  </si>
  <si>
    <t xml:space="preserve">How many apps can you scan in parallel? Typical full-crawl scan time? Scan scheduling and blackout windows?</t>
  </si>
  <si>
    <t xml:space="preserve">SaaS, on-prem, hybrid, air-gapped? Can you scan internal/firewalled apps (agent)? FIPS 140-3 / FedRAMP status?</t>
  </si>
  <si>
    <t xml:space="preserve">DevSecOps</t>
  </si>
  <si>
    <t xml:space="preserve">Is configuration version-controllable (config-as-code)? PR gating? SARIF output? Which CI/CD platforms are native?</t>
  </si>
  <si>
    <t xml:space="preserve">Native integrations with Jira, GitHub/GitLab, Slack/Teams, IDEs?</t>
  </si>
  <si>
    <t xml:space="preserve">Correlation / ASPM</t>
  </si>
  <si>
    <t xml:space="preserve">Do you correlate DAST findings with SAST/SCA, de-duplicate, and roll up into an ASPM/risk view?</t>
  </si>
  <si>
    <t xml:space="preserve">Compliance</t>
  </si>
  <si>
    <t xml:space="preserve">Which report templates ship out of the box (PCI-DSS, HIPAA, OWASP Top 10, SOC2, FedRAMP, DORA)? Are reports exportable to PDF/Excel/Jira?</t>
  </si>
  <si>
    <t xml:space="preserve">Production safety</t>
  </si>
  <si>
    <t xml:space="preserve">Is production-safe scanning supported? How do you throttle and avoid data corruption?</t>
  </si>
  <si>
    <t xml:space="preserve">AI / automation</t>
  </si>
  <si>
    <t xml:space="preserve">What AI features exist (agentic triage, autofix, AI login macros, AI-BOM)? Are they add-on priced?</t>
  </si>
  <si>
    <t xml:space="preserve">Commercial</t>
  </si>
  <si>
    <t xml:space="preserve">What is the licensing unit (per target / app / FQDN / contributor / scan)? Does a subdomain count separately?</t>
  </si>
  <si>
    <t xml:space="preserve">Do you publish list pricing? What multi-year discount is typical? Any usage overage fees?</t>
  </si>
  <si>
    <t xml:space="preserve">What hidden costs should we budget for (triage labour, infra for self-hosted agents, professional services)?</t>
  </si>
  <si>
    <t xml:space="preserve">Vendor</t>
  </si>
  <si>
    <t xml:space="preserve">SaaS data residency, tenancy isolation, and the vendor's own SOC2/ISO 27001 status?</t>
  </si>
  <si>
    <t xml:space="preserve">Support model &amp; SLA? Is a PoC/trial license available against our own apps?</t>
  </si>
  <si>
    <t xml:space="preserve">Recent ownership/rebrand changes and 12–24 month product roadmap? Risk of platform lock-in / deprecation?</t>
  </si>
  <si>
    <t xml:space="preserve">Selection Guide — Pick by Scenario</t>
  </si>
  <si>
    <t xml:space="preserve">A fast 'if your priority is X, start with Y' shortlist. Always validate with a PoC against your own apps.</t>
  </si>
  <si>
    <t xml:space="preserve">If your top priority is…</t>
  </si>
  <si>
    <t xml:space="preserve">Start with</t>
  </si>
  <si>
    <t xml:space="preserve">Why / caveat</t>
  </si>
  <si>
    <t xml:space="preserve">Zero budget / open-source mandate</t>
  </si>
  <si>
    <t xml:space="preserve">Free, scriptable, CI-friendly. Pair with a security engineer to tune false positives.</t>
  </si>
  <si>
    <t xml:space="preserve">Hands-on manual pentesting</t>
  </si>
  <si>
    <t xml:space="preserve">The gold standard toolkit; $475/seat. Scale it later with Burp Suite DAST.</t>
  </si>
  <si>
    <t xml:space="preserve">Lowest false positives at enterprise scale</t>
  </si>
  <si>
    <t xml:space="preserve">Proof-Based Scanning auto-confirms exploitable findings; premium per-target cost.</t>
  </si>
  <si>
    <t xml:space="preserve">SMB / mid-market, accurate &amp; affordable</t>
  </si>
  <si>
    <t xml:space="preserve">Same family, lower cost, clean UI; ~$4,500/yr starting.</t>
  </si>
  <si>
    <t xml:space="preserve">One unified SAST + DAST + SCA platform</t>
  </si>
  <si>
    <t xml:space="preserve">Veracode DAST or Checkmarx DAST</t>
  </si>
  <si>
    <t xml:space="preserve">Best when you want a single policy/compliance dashboard; pricing opaque, TCO high.</t>
  </si>
  <si>
    <t xml:space="preserve">Federal / FIPS / air-gapped on-prem</t>
  </si>
  <si>
    <t xml:space="preserve">HCL AppScan or Fortify WebInspect</t>
  </si>
  <si>
    <t xml:space="preserve">FIPS 140-3 (AppScan) and deep federal pedigree (WebInspect); both heavyweight.</t>
  </si>
  <si>
    <t xml:space="preserve">Already own a VM platform</t>
  </si>
  <si>
    <t xml:space="preserve">Qualys WAS / Tenable WAS / Rapid7 InsightAppSec</t>
  </si>
  <si>
    <t xml:space="preserve">Add DAST to the platform you run — one vendor, one risk picture; SOC-oriented.</t>
  </si>
  <si>
    <t xml:space="preserve">Production-safe scanning</t>
  </si>
  <si>
    <t xml:space="preserve">Safely tests live production without a separate test environment.</t>
  </si>
  <si>
    <t xml:space="preserve">CI/CD-native, API-heavy / microservices</t>
  </si>
  <si>
    <t xml:space="preserve">Config-as-code in the repo; strong GraphQL &amp; gRPC; transparent per-dev pricing.</t>
  </si>
  <si>
    <t xml:space="preserve">Already standardized on Snyk</t>
  </si>
  <si>
    <t xml:space="preserve">DAST inside the Snyk developer platform; note: no native GraphQL/gRPC yet.</t>
  </si>
  <si>
    <t xml:space="preserve">External attack-surface monitoring</t>
  </si>
  <si>
    <t xml:space="preserve">Lightweight EASM + app scanning for public assets; not for internal/complex apps.</t>
  </si>
  <si>
    <t xml:space="preserve">Automated pen-test-style depth</t>
  </si>
  <si>
    <t xml:space="preserve">Pentester-built, 100k+ checks across web/API/network/cloud.</t>
  </si>
  <si>
    <t xml:space="preserve">Affordable AI-driven DAST, low FP</t>
  </si>
  <si>
    <t xml:space="preserve">Agentic testing of business-logic &amp; APIs; validate vendor claims in a PoC.</t>
  </si>
  <si>
    <t xml:space="preserve">Consolidate many tools cheaply</t>
  </si>
  <si>
    <t xml:space="preserve">All-in-one (SAST/DAST/SCA/IaC/containers) for startups→mid-market; breadth over depth.</t>
  </si>
  <si>
    <t xml:space="preserve">API-first + business-logic + DORA</t>
  </si>
  <si>
    <t xml:space="preserve">Agentless, GraphQL-strong, compliance matrix; newer brand.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</si>
</sst>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"/>
    <numFmt numFmtId="167" formatCode="0.00"/>
    <numFmt numFmtId="168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9.5"/>
      <color rgb="FF33475B"/>
      <name val="Arial"/>
      <family val="0"/>
      <charset val="1"/>
    </font>
    <font>
      <sz val="9.5"/>
      <color rgb="FF000000"/>
      <name val="Arial"/>
      <family val="0"/>
      <charset val="1"/>
    </font>
    <font>
      <sz val="9.5"/>
      <color rgb="FF33475B"/>
      <name val="Arial"/>
      <family val="0"/>
      <charset val="1"/>
    </font>
    <font>
      <sz val="9.5"/>
      <color rgb="FF0000FF"/>
      <name val="Arial"/>
      <family val="0"/>
      <charset val="1"/>
    </font>
    <font>
      <b val="true"/>
      <sz val="9.5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3475B"/>
      <name val="Arial"/>
      <family val="0"/>
      <charset val="1"/>
    </font>
    <font>
      <i val="true"/>
      <sz val="8.5"/>
      <color rgb="FF6B7785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475B"/>
      </patternFill>
    </fill>
    <fill>
      <patternFill patternType="solid">
        <fgColor rgb="FF2E5C8A"/>
        <bgColor rgb="FF33475B"/>
      </patternFill>
    </fill>
    <fill>
      <patternFill patternType="solid">
        <fgColor rgb="FFEAF1F8"/>
        <bgColor rgb="FFE7EAEE"/>
      </patternFill>
    </fill>
    <fill>
      <patternFill patternType="solid">
        <fgColor rgb="FFFFFFFF"/>
        <bgColor rgb="FFEAF1F8"/>
      </patternFill>
    </fill>
    <fill>
      <patternFill patternType="solid">
        <fgColor rgb="FFFBEFC9"/>
        <bgColor rgb="FFE7EAEE"/>
      </patternFill>
    </fill>
    <fill>
      <patternFill patternType="solid">
        <fgColor rgb="FFD6EBDD"/>
        <bgColor rgb="FFE7EA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E5C8A"/>
          <bgColor rgb="FF000000"/>
        </patternFill>
      </fill>
    </dxf>
    <dxf>
      <fill>
        <patternFill patternType="solid">
          <fgColor rgb="FFEAF1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3475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6EBDD"/>
          <bgColor rgb="FF000000"/>
        </patternFill>
      </fill>
    </dxf>
    <dxf>
      <fill>
        <patternFill patternType="solid">
          <fgColor rgb="FFF6D9D6"/>
          <bgColor rgb="FF000000"/>
        </patternFill>
      </fill>
    </dxf>
    <dxf>
      <fill>
        <patternFill patternType="solid">
          <fgColor rgb="FF1E7D46"/>
          <bgColor rgb="FF000000"/>
        </patternFill>
      </fill>
    </dxf>
    <dxf>
      <fill>
        <patternFill patternType="solid">
          <fgColor rgb="FF9C2B2B"/>
          <bgColor rgb="FF000000"/>
        </patternFill>
      </fill>
    </dxf>
    <dxf>
      <fill>
        <patternFill patternType="solid">
          <fgColor rgb="FFE7EAEE"/>
          <bgColor rgb="FF000000"/>
        </patternFill>
      </fill>
    </dxf>
    <dxf>
      <fill>
        <patternFill patternType="solid">
          <fgColor rgb="FF6B7785"/>
          <bgColor rgb="FF000000"/>
        </patternFill>
      </fill>
    </dxf>
    <dxf>
      <font>
        <name val="Arial"/>
        <charset val="1"/>
        <family val="0"/>
        <color rgb="FF1E7D46"/>
        <sz val="9"/>
      </font>
      <fill>
        <patternFill>
          <bgColor rgb="FFD6EBDD"/>
        </patternFill>
      </fill>
    </dxf>
    <dxf>
      <font>
        <name val="Arial"/>
        <charset val="1"/>
        <family val="0"/>
        <color rgb="FF9C2B2B"/>
        <sz val="9"/>
      </font>
      <fill>
        <patternFill>
          <bgColor rgb="FFF6D9D6"/>
        </patternFill>
      </fill>
    </dxf>
    <dxf>
      <font>
        <name val="Arial"/>
        <charset val="1"/>
        <family val="0"/>
        <color rgb="FF6B7785"/>
        <sz val="9"/>
      </font>
      <fill>
        <patternFill>
          <bgColor rgb="FFE7EA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D46"/>
      <rgbColor rgb="FFC0C0C0"/>
      <rgbColor rgb="FF6B7785"/>
      <rgbColor rgb="FF9999FF"/>
      <rgbColor rgb="FF993366"/>
      <rgbColor rgb="FFFBEFC9"/>
      <rgbColor rgb="FFEAF1F8"/>
      <rgbColor rgb="FF660066"/>
      <rgbColor rgb="FFFF8080"/>
      <rgbColor rgb="FF0066CC"/>
      <rgbColor rgb="FFC9D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AEE"/>
      <rgbColor rgb="FFD6EBDD"/>
      <rgbColor rgb="FFFFFF99"/>
      <rgbColor rgb="FF99CCFF"/>
      <rgbColor rgb="FFFF99CC"/>
      <rgbColor rgb="FFCC99FF"/>
      <rgbColor rgb="FFF6D9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C2B2B"/>
      <rgbColor rgb="FF993366"/>
      <rgbColor rgb="FF2E5C8A"/>
      <rgbColor rgb="FF334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6"/>
  </cols>
  <sheetData>
    <row r="1" customFormat="false" ht="30" hidden="false" customHeight="true" outlineLevel="0" collapsed="false">
      <c r="A1" s="1" t="s">
        <v>0</v>
      </c>
      <c r="B1" s="1"/>
    </row>
    <row r="2" customFormat="false" ht="18" hidden="false" customHeight="true" outlineLevel="0" collapsed="false">
      <c r="A2" s="2" t="s">
        <v>1</v>
      </c>
      <c r="B2" s="2"/>
    </row>
    <row r="3" customFormat="false" ht="30" hidden="false" customHeight="true" outlineLevel="0" collapsed="false">
      <c r="A3" s="3" t="s">
        <v>2</v>
      </c>
      <c r="B3" s="3" t="s">
        <v>3</v>
      </c>
    </row>
    <row r="4" customFormat="false" ht="63.75" hidden="false" customHeight="true" outlineLevel="0" collapsed="false">
      <c r="A4" s="4" t="s">
        <v>4</v>
      </c>
      <c r="B4" s="5" t="s">
        <v>5</v>
      </c>
    </row>
    <row r="5" customFormat="false" ht="30" hidden="false" customHeight="true" outlineLevel="0" collapsed="false">
      <c r="A5" s="6" t="s">
        <v>6</v>
      </c>
      <c r="B5" s="7" t="s">
        <v>7</v>
      </c>
    </row>
    <row r="6" customFormat="false" ht="51.75" hidden="false" customHeight="true" outlineLevel="0" collapsed="false">
      <c r="A6" s="4" t="s">
        <v>8</v>
      </c>
      <c r="B6" s="5" t="s">
        <v>9</v>
      </c>
    </row>
    <row r="7" customFormat="false" ht="63.75" hidden="false" customHeight="true" outlineLevel="0" collapsed="false">
      <c r="A7" s="6" t="s">
        <v>10</v>
      </c>
      <c r="B7" s="7" t="s">
        <v>11</v>
      </c>
    </row>
    <row r="8" customFormat="false" ht="63.75" hidden="false" customHeight="true" outlineLevel="0" collapsed="false">
      <c r="A8" s="4" t="s">
        <v>12</v>
      </c>
      <c r="B8" s="5" t="s">
        <v>13</v>
      </c>
    </row>
    <row r="9" customFormat="false" ht="63.75" hidden="false" customHeight="true" outlineLevel="0" collapsed="false">
      <c r="A9" s="6" t="s">
        <v>14</v>
      </c>
      <c r="B9" s="7" t="s">
        <v>15</v>
      </c>
    </row>
    <row r="10" customFormat="false" ht="63.75" hidden="false" customHeight="true" outlineLevel="0" collapsed="false">
      <c r="A10" s="4" t="s">
        <v>16</v>
      </c>
      <c r="B10" s="5" t="s">
        <v>17</v>
      </c>
    </row>
    <row r="11" customFormat="false" ht="63.75" hidden="false" customHeight="true" outlineLevel="0" collapsed="false">
      <c r="A11" s="6" t="s">
        <v>18</v>
      </c>
      <c r="B11" s="7" t="s">
        <v>19</v>
      </c>
    </row>
    <row r="12" customFormat="false" ht="63.75" hidden="false" customHeight="true" outlineLevel="0" collapsed="false">
      <c r="A12" s="4" t="s">
        <v>20</v>
      </c>
      <c r="B12" s="5" t="s">
        <v>21</v>
      </c>
    </row>
    <row r="13" customFormat="false" ht="51.75" hidden="false" customHeight="true" outlineLevel="0" collapsed="false">
      <c r="A13" s="6" t="s">
        <v>22</v>
      </c>
      <c r="B13" s="7" t="s">
        <v>23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20"/>
    <col collapsed="false" customWidth="true" hidden="false" outlineLevel="0" max="12" min="12" style="0" width="24"/>
    <col collapsed="false" customWidth="true" hidden="false" outlineLevel="0" max="13" min="13" style="0" width="20"/>
    <col collapsed="false" customWidth="true" hidden="false" outlineLevel="0" max="14" min="14" style="0" width="18"/>
    <col collapsed="false" customWidth="true" hidden="false" outlineLevel="0" max="15" min="15" style="0" width="34"/>
    <col collapsed="false" customWidth="true" hidden="false" outlineLevel="0" max="16" min="16" style="0" width="22"/>
    <col collapsed="false" customWidth="true" hidden="false" outlineLevel="0" max="17" min="17" style="0" width="30"/>
    <col collapsed="false" customWidth="true" hidden="false" outlineLevel="0" max="18" min="18" style="0" width="38"/>
    <col collapsed="false" customWidth="true" hidden="false" outlineLevel="0" max="19" min="19" style="0" width="20"/>
  </cols>
  <sheetData>
    <row r="1" customFormat="false" ht="30" hidden="false" customHeight="true" outlineLevel="0" collapsed="false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8" hidden="false" customHeight="tru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30" hidden="false" customHeight="tru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  <c r="Q3" s="3" t="s">
        <v>42</v>
      </c>
      <c r="R3" s="3" t="s">
        <v>43</v>
      </c>
      <c r="S3" s="3" t="s">
        <v>44</v>
      </c>
    </row>
    <row r="4" customFormat="false" ht="96" hidden="false" customHeight="true" outlineLevel="0" collapsed="false">
      <c r="A4" s="4" t="n">
        <v>1</v>
      </c>
      <c r="B4" s="5" t="s">
        <v>45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  <c r="J4" s="5" t="s">
        <v>53</v>
      </c>
      <c r="K4" s="5" t="s">
        <v>54</v>
      </c>
      <c r="L4" s="5" t="s">
        <v>55</v>
      </c>
      <c r="M4" s="5" t="s">
        <v>56</v>
      </c>
      <c r="N4" s="5" t="s">
        <v>57</v>
      </c>
      <c r="O4" s="5" t="s">
        <v>58</v>
      </c>
      <c r="P4" s="5" t="s">
        <v>59</v>
      </c>
      <c r="Q4" s="5" t="s">
        <v>60</v>
      </c>
      <c r="R4" s="5" t="s">
        <v>61</v>
      </c>
      <c r="S4" s="5" t="s">
        <v>62</v>
      </c>
    </row>
    <row r="5" customFormat="false" ht="96" hidden="false" customHeight="true" outlineLevel="0" collapsed="false">
      <c r="A5" s="6" t="n">
        <v>2</v>
      </c>
      <c r="B5" s="7" t="s">
        <v>63</v>
      </c>
      <c r="C5" s="7" t="s">
        <v>64</v>
      </c>
      <c r="D5" s="7" t="s">
        <v>65</v>
      </c>
      <c r="E5" s="7" t="s">
        <v>66</v>
      </c>
      <c r="F5" s="7" t="s">
        <v>67</v>
      </c>
      <c r="G5" s="7" t="s">
        <v>68</v>
      </c>
      <c r="H5" s="7" t="s">
        <v>69</v>
      </c>
      <c r="I5" s="7" t="s">
        <v>70</v>
      </c>
      <c r="J5" s="7" t="s">
        <v>71</v>
      </c>
      <c r="K5" s="7" t="s">
        <v>72</v>
      </c>
      <c r="L5" s="7" t="s">
        <v>73</v>
      </c>
      <c r="M5" s="7" t="s">
        <v>74</v>
      </c>
      <c r="N5" s="7" t="s">
        <v>75</v>
      </c>
      <c r="O5" s="7" t="s">
        <v>76</v>
      </c>
      <c r="P5" s="7" t="s">
        <v>77</v>
      </c>
      <c r="Q5" s="7" t="s">
        <v>78</v>
      </c>
      <c r="R5" s="7" t="s">
        <v>79</v>
      </c>
      <c r="S5" s="7" t="s">
        <v>62</v>
      </c>
    </row>
    <row r="6" customFormat="false" ht="96" hidden="false" customHeight="true" outlineLevel="0" collapsed="false">
      <c r="A6" s="4" t="n">
        <v>3</v>
      </c>
      <c r="B6" s="5" t="s">
        <v>80</v>
      </c>
      <c r="C6" s="5" t="s">
        <v>64</v>
      </c>
      <c r="D6" s="5" t="s">
        <v>81</v>
      </c>
      <c r="E6" s="5" t="s">
        <v>82</v>
      </c>
      <c r="F6" s="5" t="s">
        <v>83</v>
      </c>
      <c r="G6" s="5" t="s">
        <v>84</v>
      </c>
      <c r="H6" s="5" t="s">
        <v>85</v>
      </c>
      <c r="I6" s="5" t="s">
        <v>86</v>
      </c>
      <c r="J6" s="5" t="s">
        <v>87</v>
      </c>
      <c r="K6" s="5" t="s">
        <v>88</v>
      </c>
      <c r="L6" s="5" t="s">
        <v>89</v>
      </c>
      <c r="M6" s="5" t="s">
        <v>90</v>
      </c>
      <c r="N6" s="5" t="s">
        <v>91</v>
      </c>
      <c r="O6" s="5" t="s">
        <v>92</v>
      </c>
      <c r="P6" s="5" t="s">
        <v>93</v>
      </c>
      <c r="Q6" s="5" t="s">
        <v>94</v>
      </c>
      <c r="R6" s="5" t="s">
        <v>95</v>
      </c>
      <c r="S6" s="5" t="s">
        <v>96</v>
      </c>
    </row>
    <row r="7" customFormat="false" ht="96" hidden="false" customHeight="true" outlineLevel="0" collapsed="false">
      <c r="A7" s="6" t="n">
        <v>4</v>
      </c>
      <c r="B7" s="7" t="s">
        <v>97</v>
      </c>
      <c r="C7" s="7" t="s">
        <v>98</v>
      </c>
      <c r="D7" s="7" t="s">
        <v>81</v>
      </c>
      <c r="E7" s="7" t="s">
        <v>99</v>
      </c>
      <c r="F7" s="7" t="s">
        <v>100</v>
      </c>
      <c r="G7" s="7" t="s">
        <v>101</v>
      </c>
      <c r="H7" s="7" t="s">
        <v>102</v>
      </c>
      <c r="I7" s="7" t="s">
        <v>103</v>
      </c>
      <c r="J7" s="7" t="s">
        <v>104</v>
      </c>
      <c r="K7" s="7" t="s">
        <v>105</v>
      </c>
      <c r="L7" s="7" t="s">
        <v>106</v>
      </c>
      <c r="M7" s="7" t="s">
        <v>107</v>
      </c>
      <c r="N7" s="7" t="s">
        <v>108</v>
      </c>
      <c r="O7" s="7" t="s">
        <v>109</v>
      </c>
      <c r="P7" s="7" t="s">
        <v>110</v>
      </c>
      <c r="Q7" s="7" t="s">
        <v>111</v>
      </c>
      <c r="R7" s="7" t="s">
        <v>112</v>
      </c>
      <c r="S7" s="7" t="s">
        <v>96</v>
      </c>
    </row>
    <row r="8" customFormat="false" ht="96" hidden="false" customHeight="true" outlineLevel="0" collapsed="false">
      <c r="A8" s="4" t="n">
        <v>5</v>
      </c>
      <c r="B8" s="5" t="s">
        <v>113</v>
      </c>
      <c r="C8" s="5" t="s">
        <v>98</v>
      </c>
      <c r="D8" s="5" t="s">
        <v>114</v>
      </c>
      <c r="E8" s="5" t="s">
        <v>115</v>
      </c>
      <c r="F8" s="5" t="s">
        <v>116</v>
      </c>
      <c r="G8" s="5" t="s">
        <v>117</v>
      </c>
      <c r="H8" s="5" t="s">
        <v>85</v>
      </c>
      <c r="I8" s="5" t="s">
        <v>118</v>
      </c>
      <c r="J8" s="5" t="s">
        <v>119</v>
      </c>
      <c r="K8" s="5" t="s">
        <v>120</v>
      </c>
      <c r="L8" s="5" t="s">
        <v>121</v>
      </c>
      <c r="M8" s="5" t="s">
        <v>122</v>
      </c>
      <c r="N8" s="5" t="s">
        <v>123</v>
      </c>
      <c r="O8" s="5" t="s">
        <v>124</v>
      </c>
      <c r="P8" s="5" t="s">
        <v>125</v>
      </c>
      <c r="Q8" s="5" t="s">
        <v>126</v>
      </c>
      <c r="R8" s="5" t="s">
        <v>127</v>
      </c>
      <c r="S8" s="5" t="s">
        <v>96</v>
      </c>
    </row>
    <row r="9" customFormat="false" ht="96" hidden="false" customHeight="true" outlineLevel="0" collapsed="false">
      <c r="A9" s="6" t="n">
        <v>6</v>
      </c>
      <c r="B9" s="7" t="s">
        <v>128</v>
      </c>
      <c r="C9" s="7" t="s">
        <v>129</v>
      </c>
      <c r="D9" s="7" t="s">
        <v>81</v>
      </c>
      <c r="E9" s="7" t="s">
        <v>130</v>
      </c>
      <c r="F9" s="7" t="s">
        <v>131</v>
      </c>
      <c r="G9" s="7" t="s">
        <v>132</v>
      </c>
      <c r="H9" s="7" t="s">
        <v>133</v>
      </c>
      <c r="I9" s="7" t="s">
        <v>134</v>
      </c>
      <c r="J9" s="7" t="s">
        <v>135</v>
      </c>
      <c r="K9" s="7" t="s">
        <v>136</v>
      </c>
      <c r="L9" s="7" t="s">
        <v>137</v>
      </c>
      <c r="M9" s="7" t="s">
        <v>138</v>
      </c>
      <c r="N9" s="7" t="s">
        <v>139</v>
      </c>
      <c r="O9" s="7" t="s">
        <v>140</v>
      </c>
      <c r="P9" s="7" t="s">
        <v>141</v>
      </c>
      <c r="Q9" s="7" t="s">
        <v>142</v>
      </c>
      <c r="R9" s="7" t="s">
        <v>143</v>
      </c>
      <c r="S9" s="7" t="s">
        <v>96</v>
      </c>
    </row>
    <row r="10" customFormat="false" ht="96" hidden="false" customHeight="true" outlineLevel="0" collapsed="false">
      <c r="A10" s="4" t="n">
        <v>7</v>
      </c>
      <c r="B10" s="5" t="s">
        <v>144</v>
      </c>
      <c r="C10" s="5" t="s">
        <v>145</v>
      </c>
      <c r="D10" s="5" t="s">
        <v>81</v>
      </c>
      <c r="E10" s="5" t="s">
        <v>146</v>
      </c>
      <c r="F10" s="5" t="s">
        <v>147</v>
      </c>
      <c r="G10" s="5" t="s">
        <v>117</v>
      </c>
      <c r="H10" s="5" t="s">
        <v>148</v>
      </c>
      <c r="I10" s="5" t="s">
        <v>149</v>
      </c>
      <c r="J10" s="5" t="s">
        <v>150</v>
      </c>
      <c r="K10" s="5" t="s">
        <v>151</v>
      </c>
      <c r="L10" s="5" t="s">
        <v>152</v>
      </c>
      <c r="M10" s="5" t="s">
        <v>153</v>
      </c>
      <c r="N10" s="5" t="s">
        <v>154</v>
      </c>
      <c r="O10" s="5" t="s">
        <v>155</v>
      </c>
      <c r="P10" s="5" t="s">
        <v>156</v>
      </c>
      <c r="Q10" s="5" t="s">
        <v>157</v>
      </c>
      <c r="R10" s="5" t="s">
        <v>158</v>
      </c>
      <c r="S10" s="5" t="s">
        <v>96</v>
      </c>
    </row>
    <row r="11" customFormat="false" ht="96" hidden="false" customHeight="true" outlineLevel="0" collapsed="false">
      <c r="A11" s="6" t="n">
        <v>8</v>
      </c>
      <c r="B11" s="7" t="s">
        <v>159</v>
      </c>
      <c r="C11" s="7" t="s">
        <v>160</v>
      </c>
      <c r="D11" s="7" t="s">
        <v>81</v>
      </c>
      <c r="E11" s="7" t="s">
        <v>161</v>
      </c>
      <c r="F11" s="7" t="s">
        <v>162</v>
      </c>
      <c r="G11" s="7" t="s">
        <v>117</v>
      </c>
      <c r="H11" s="7" t="s">
        <v>163</v>
      </c>
      <c r="I11" s="7" t="s">
        <v>164</v>
      </c>
      <c r="J11" s="7" t="s">
        <v>165</v>
      </c>
      <c r="K11" s="7" t="s">
        <v>151</v>
      </c>
      <c r="L11" s="7" t="s">
        <v>166</v>
      </c>
      <c r="M11" s="7" t="s">
        <v>167</v>
      </c>
      <c r="N11" s="7" t="s">
        <v>168</v>
      </c>
      <c r="O11" s="7" t="s">
        <v>169</v>
      </c>
      <c r="P11" s="7" t="s">
        <v>170</v>
      </c>
      <c r="Q11" s="7" t="s">
        <v>171</v>
      </c>
      <c r="R11" s="7" t="s">
        <v>172</v>
      </c>
      <c r="S11" s="7" t="s">
        <v>96</v>
      </c>
    </row>
    <row r="12" customFormat="false" ht="96" hidden="false" customHeight="true" outlineLevel="0" collapsed="false">
      <c r="A12" s="4" t="n">
        <v>9</v>
      </c>
      <c r="B12" s="5" t="s">
        <v>173</v>
      </c>
      <c r="C12" s="5" t="s">
        <v>174</v>
      </c>
      <c r="D12" s="5" t="s">
        <v>175</v>
      </c>
      <c r="E12" s="5" t="s">
        <v>176</v>
      </c>
      <c r="F12" s="5" t="s">
        <v>177</v>
      </c>
      <c r="G12" s="5" t="s">
        <v>178</v>
      </c>
      <c r="H12" s="5" t="s">
        <v>179</v>
      </c>
      <c r="I12" s="5" t="s">
        <v>180</v>
      </c>
      <c r="J12" s="5" t="s">
        <v>181</v>
      </c>
      <c r="K12" s="5" t="s">
        <v>88</v>
      </c>
      <c r="L12" s="5" t="s">
        <v>182</v>
      </c>
      <c r="M12" s="5" t="s">
        <v>122</v>
      </c>
      <c r="N12" s="5" t="s">
        <v>183</v>
      </c>
      <c r="O12" s="5" t="s">
        <v>184</v>
      </c>
      <c r="P12" s="5" t="s">
        <v>185</v>
      </c>
      <c r="Q12" s="5" t="s">
        <v>186</v>
      </c>
      <c r="R12" s="5" t="s">
        <v>187</v>
      </c>
      <c r="S12" s="5" t="s">
        <v>96</v>
      </c>
    </row>
    <row r="13" customFormat="false" ht="96" hidden="false" customHeight="true" outlineLevel="0" collapsed="false">
      <c r="A13" s="6" t="n">
        <v>10</v>
      </c>
      <c r="B13" s="7" t="s">
        <v>188</v>
      </c>
      <c r="C13" s="7" t="s">
        <v>189</v>
      </c>
      <c r="D13" s="7" t="s">
        <v>81</v>
      </c>
      <c r="E13" s="7" t="s">
        <v>190</v>
      </c>
      <c r="F13" s="7" t="s">
        <v>191</v>
      </c>
      <c r="G13" s="7" t="s">
        <v>192</v>
      </c>
      <c r="H13" s="7" t="s">
        <v>148</v>
      </c>
      <c r="I13" s="7" t="s">
        <v>193</v>
      </c>
      <c r="J13" s="7" t="s">
        <v>194</v>
      </c>
      <c r="K13" s="7" t="s">
        <v>195</v>
      </c>
      <c r="L13" s="7" t="s">
        <v>196</v>
      </c>
      <c r="M13" s="7" t="s">
        <v>197</v>
      </c>
      <c r="N13" s="7" t="s">
        <v>198</v>
      </c>
      <c r="O13" s="7" t="s">
        <v>199</v>
      </c>
      <c r="P13" s="7" t="s">
        <v>170</v>
      </c>
      <c r="Q13" s="7" t="s">
        <v>200</v>
      </c>
      <c r="R13" s="7" t="s">
        <v>201</v>
      </c>
      <c r="S13" s="7" t="s">
        <v>96</v>
      </c>
    </row>
    <row r="14" customFormat="false" ht="96" hidden="false" customHeight="true" outlineLevel="0" collapsed="false">
      <c r="A14" s="4" t="n">
        <v>11</v>
      </c>
      <c r="B14" s="5" t="s">
        <v>202</v>
      </c>
      <c r="C14" s="5" t="s">
        <v>203</v>
      </c>
      <c r="D14" s="5" t="s">
        <v>204</v>
      </c>
      <c r="E14" s="5" t="s">
        <v>205</v>
      </c>
      <c r="F14" s="5" t="s">
        <v>206</v>
      </c>
      <c r="G14" s="5" t="s">
        <v>207</v>
      </c>
      <c r="H14" s="5" t="s">
        <v>208</v>
      </c>
      <c r="I14" s="5" t="s">
        <v>209</v>
      </c>
      <c r="J14" s="5" t="s">
        <v>165</v>
      </c>
      <c r="K14" s="5" t="s">
        <v>88</v>
      </c>
      <c r="L14" s="5" t="s">
        <v>210</v>
      </c>
      <c r="M14" s="5" t="s">
        <v>122</v>
      </c>
      <c r="N14" s="5" t="s">
        <v>211</v>
      </c>
      <c r="O14" s="5" t="s">
        <v>212</v>
      </c>
      <c r="P14" s="5" t="s">
        <v>125</v>
      </c>
      <c r="Q14" s="5" t="s">
        <v>213</v>
      </c>
      <c r="R14" s="5" t="s">
        <v>214</v>
      </c>
      <c r="S14" s="5" t="s">
        <v>96</v>
      </c>
    </row>
    <row r="15" customFormat="false" ht="96" hidden="false" customHeight="true" outlineLevel="0" collapsed="false">
      <c r="A15" s="6" t="n">
        <v>12</v>
      </c>
      <c r="B15" s="7" t="s">
        <v>215</v>
      </c>
      <c r="C15" s="7" t="s">
        <v>216</v>
      </c>
      <c r="D15" s="7" t="s">
        <v>81</v>
      </c>
      <c r="E15" s="7" t="s">
        <v>217</v>
      </c>
      <c r="F15" s="7" t="s">
        <v>218</v>
      </c>
      <c r="G15" s="7" t="s">
        <v>219</v>
      </c>
      <c r="H15" s="7" t="s">
        <v>220</v>
      </c>
      <c r="I15" s="7" t="s">
        <v>221</v>
      </c>
      <c r="J15" s="7" t="s">
        <v>165</v>
      </c>
      <c r="K15" s="7" t="s">
        <v>88</v>
      </c>
      <c r="L15" s="7" t="s">
        <v>222</v>
      </c>
      <c r="M15" s="7" t="s">
        <v>122</v>
      </c>
      <c r="N15" s="7" t="s">
        <v>223</v>
      </c>
      <c r="O15" s="7" t="s">
        <v>224</v>
      </c>
      <c r="P15" s="7" t="s">
        <v>125</v>
      </c>
      <c r="Q15" s="7" t="s">
        <v>225</v>
      </c>
      <c r="R15" s="7" t="s">
        <v>226</v>
      </c>
      <c r="S15" s="7" t="s">
        <v>96</v>
      </c>
    </row>
    <row r="16" customFormat="false" ht="96" hidden="false" customHeight="true" outlineLevel="0" collapsed="false">
      <c r="A16" s="4" t="n">
        <v>13</v>
      </c>
      <c r="B16" s="5" t="s">
        <v>227</v>
      </c>
      <c r="C16" s="5" t="s">
        <v>228</v>
      </c>
      <c r="D16" s="5" t="s">
        <v>81</v>
      </c>
      <c r="E16" s="5" t="s">
        <v>229</v>
      </c>
      <c r="F16" s="5" t="s">
        <v>230</v>
      </c>
      <c r="G16" s="5" t="s">
        <v>117</v>
      </c>
      <c r="H16" s="5" t="s">
        <v>148</v>
      </c>
      <c r="I16" s="5" t="s">
        <v>221</v>
      </c>
      <c r="J16" s="5" t="s">
        <v>231</v>
      </c>
      <c r="K16" s="5" t="s">
        <v>232</v>
      </c>
      <c r="L16" s="5" t="s">
        <v>233</v>
      </c>
      <c r="M16" s="5" t="s">
        <v>122</v>
      </c>
      <c r="N16" s="5" t="s">
        <v>168</v>
      </c>
      <c r="O16" s="5" t="s">
        <v>234</v>
      </c>
      <c r="P16" s="5" t="s">
        <v>170</v>
      </c>
      <c r="Q16" s="5" t="s">
        <v>235</v>
      </c>
      <c r="R16" s="5" t="s">
        <v>236</v>
      </c>
      <c r="S16" s="5" t="s">
        <v>96</v>
      </c>
    </row>
    <row r="17" customFormat="false" ht="96" hidden="false" customHeight="true" outlineLevel="0" collapsed="false">
      <c r="A17" s="6" t="n">
        <v>14</v>
      </c>
      <c r="B17" s="7" t="s">
        <v>237</v>
      </c>
      <c r="C17" s="7" t="s">
        <v>237</v>
      </c>
      <c r="D17" s="7" t="s">
        <v>238</v>
      </c>
      <c r="E17" s="7" t="s">
        <v>239</v>
      </c>
      <c r="F17" s="7" t="s">
        <v>240</v>
      </c>
      <c r="G17" s="7" t="s">
        <v>241</v>
      </c>
      <c r="H17" s="7" t="s">
        <v>242</v>
      </c>
      <c r="I17" s="7" t="s">
        <v>243</v>
      </c>
      <c r="J17" s="7" t="s">
        <v>244</v>
      </c>
      <c r="K17" s="7" t="s">
        <v>245</v>
      </c>
      <c r="L17" s="7" t="s">
        <v>246</v>
      </c>
      <c r="M17" s="7" t="s">
        <v>247</v>
      </c>
      <c r="N17" s="7" t="s">
        <v>248</v>
      </c>
      <c r="O17" s="7" t="s">
        <v>249</v>
      </c>
      <c r="P17" s="7" t="s">
        <v>250</v>
      </c>
      <c r="Q17" s="7" t="s">
        <v>251</v>
      </c>
      <c r="R17" s="7" t="s">
        <v>252</v>
      </c>
      <c r="S17" s="7" t="s">
        <v>96</v>
      </c>
    </row>
    <row r="18" customFormat="false" ht="96" hidden="false" customHeight="true" outlineLevel="0" collapsed="false">
      <c r="A18" s="4" t="n">
        <v>15</v>
      </c>
      <c r="B18" s="5" t="s">
        <v>253</v>
      </c>
      <c r="C18" s="5" t="s">
        <v>254</v>
      </c>
      <c r="D18" s="5" t="s">
        <v>255</v>
      </c>
      <c r="E18" s="5" t="s">
        <v>256</v>
      </c>
      <c r="F18" s="5" t="s">
        <v>257</v>
      </c>
      <c r="G18" s="5" t="s">
        <v>258</v>
      </c>
      <c r="H18" s="5" t="s">
        <v>148</v>
      </c>
      <c r="I18" s="5" t="s">
        <v>259</v>
      </c>
      <c r="J18" s="5" t="s">
        <v>260</v>
      </c>
      <c r="K18" s="5" t="s">
        <v>261</v>
      </c>
      <c r="L18" s="5" t="s">
        <v>262</v>
      </c>
      <c r="M18" s="5" t="s">
        <v>263</v>
      </c>
      <c r="N18" s="5" t="s">
        <v>264</v>
      </c>
      <c r="O18" s="5" t="s">
        <v>265</v>
      </c>
      <c r="P18" s="5" t="s">
        <v>266</v>
      </c>
      <c r="Q18" s="5" t="s">
        <v>267</v>
      </c>
      <c r="R18" s="5" t="s">
        <v>268</v>
      </c>
      <c r="S18" s="5" t="s">
        <v>96</v>
      </c>
    </row>
    <row r="19" customFormat="false" ht="96" hidden="false" customHeight="true" outlineLevel="0" collapsed="false">
      <c r="A19" s="6" t="n">
        <v>16</v>
      </c>
      <c r="B19" s="7" t="s">
        <v>269</v>
      </c>
      <c r="C19" s="7" t="s">
        <v>269</v>
      </c>
      <c r="D19" s="7" t="s">
        <v>270</v>
      </c>
      <c r="E19" s="7" t="s">
        <v>271</v>
      </c>
      <c r="F19" s="7" t="s">
        <v>272</v>
      </c>
      <c r="G19" s="7" t="s">
        <v>273</v>
      </c>
      <c r="H19" s="7" t="s">
        <v>274</v>
      </c>
      <c r="I19" s="7" t="s">
        <v>275</v>
      </c>
      <c r="J19" s="7" t="s">
        <v>276</v>
      </c>
      <c r="K19" s="7" t="s">
        <v>88</v>
      </c>
      <c r="L19" s="7" t="s">
        <v>277</v>
      </c>
      <c r="M19" s="7" t="s">
        <v>122</v>
      </c>
      <c r="N19" s="7" t="s">
        <v>278</v>
      </c>
      <c r="O19" s="7" t="s">
        <v>279</v>
      </c>
      <c r="P19" s="7" t="s">
        <v>250</v>
      </c>
      <c r="Q19" s="7" t="s">
        <v>280</v>
      </c>
      <c r="R19" s="7" t="s">
        <v>281</v>
      </c>
      <c r="S19" s="7" t="s">
        <v>96</v>
      </c>
    </row>
    <row r="20" customFormat="false" ht="96" hidden="false" customHeight="true" outlineLevel="0" collapsed="false">
      <c r="A20" s="4" t="n">
        <v>17</v>
      </c>
      <c r="B20" s="5" t="s">
        <v>282</v>
      </c>
      <c r="C20" s="5" t="s">
        <v>283</v>
      </c>
      <c r="D20" s="5" t="s">
        <v>284</v>
      </c>
      <c r="E20" s="5" t="s">
        <v>115</v>
      </c>
      <c r="F20" s="5" t="s">
        <v>285</v>
      </c>
      <c r="G20" s="5" t="s">
        <v>286</v>
      </c>
      <c r="H20" s="5" t="s">
        <v>287</v>
      </c>
      <c r="I20" s="5" t="s">
        <v>148</v>
      </c>
      <c r="J20" s="5" t="s">
        <v>231</v>
      </c>
      <c r="K20" s="5" t="s">
        <v>88</v>
      </c>
      <c r="L20" s="5" t="s">
        <v>288</v>
      </c>
      <c r="M20" s="5" t="s">
        <v>122</v>
      </c>
      <c r="N20" s="5" t="s">
        <v>234</v>
      </c>
      <c r="O20" s="5" t="s">
        <v>234</v>
      </c>
      <c r="P20" s="5" t="s">
        <v>125</v>
      </c>
      <c r="Q20" s="5" t="s">
        <v>289</v>
      </c>
      <c r="R20" s="5" t="s">
        <v>290</v>
      </c>
      <c r="S20" s="5" t="s">
        <v>96</v>
      </c>
    </row>
    <row r="21" customFormat="false" ht="96" hidden="false" customHeight="true" outlineLevel="0" collapsed="false">
      <c r="A21" s="6" t="n">
        <v>18</v>
      </c>
      <c r="B21" s="7" t="s">
        <v>291</v>
      </c>
      <c r="C21" s="7" t="s">
        <v>291</v>
      </c>
      <c r="D21" s="7" t="s">
        <v>292</v>
      </c>
      <c r="E21" s="7" t="s">
        <v>271</v>
      </c>
      <c r="F21" s="7" t="s">
        <v>293</v>
      </c>
      <c r="G21" s="7" t="s">
        <v>294</v>
      </c>
      <c r="H21" s="7" t="s">
        <v>148</v>
      </c>
      <c r="I21" s="7" t="s">
        <v>295</v>
      </c>
      <c r="J21" s="7" t="s">
        <v>165</v>
      </c>
      <c r="K21" s="7" t="s">
        <v>296</v>
      </c>
      <c r="L21" s="7" t="s">
        <v>297</v>
      </c>
      <c r="M21" s="7" t="s">
        <v>298</v>
      </c>
      <c r="N21" s="7" t="s">
        <v>299</v>
      </c>
      <c r="O21" s="7" t="s">
        <v>300</v>
      </c>
      <c r="P21" s="7" t="s">
        <v>125</v>
      </c>
      <c r="Q21" s="7" t="s">
        <v>301</v>
      </c>
      <c r="R21" s="7" t="s">
        <v>302</v>
      </c>
      <c r="S21" s="7" t="s">
        <v>303</v>
      </c>
    </row>
    <row r="22" customFormat="false" ht="96" hidden="false" customHeight="true" outlineLevel="0" collapsed="false">
      <c r="A22" s="4" t="n">
        <v>19</v>
      </c>
      <c r="B22" s="5" t="s">
        <v>304</v>
      </c>
      <c r="C22" s="5" t="s">
        <v>305</v>
      </c>
      <c r="D22" s="5" t="s">
        <v>306</v>
      </c>
      <c r="E22" s="5" t="s">
        <v>307</v>
      </c>
      <c r="F22" s="5" t="s">
        <v>308</v>
      </c>
      <c r="G22" s="5" t="s">
        <v>309</v>
      </c>
      <c r="H22" s="5" t="s">
        <v>148</v>
      </c>
      <c r="I22" s="5" t="s">
        <v>148</v>
      </c>
      <c r="J22" s="5" t="s">
        <v>310</v>
      </c>
      <c r="K22" s="5" t="s">
        <v>311</v>
      </c>
      <c r="L22" s="5" t="s">
        <v>312</v>
      </c>
      <c r="M22" s="5" t="s">
        <v>313</v>
      </c>
      <c r="N22" s="5" t="s">
        <v>314</v>
      </c>
      <c r="O22" s="5" t="s">
        <v>315</v>
      </c>
      <c r="P22" s="5" t="s">
        <v>316</v>
      </c>
      <c r="Q22" s="5" t="s">
        <v>317</v>
      </c>
      <c r="R22" s="5" t="s">
        <v>318</v>
      </c>
      <c r="S22" s="5" t="s">
        <v>303</v>
      </c>
    </row>
    <row r="23" customFormat="false" ht="96" hidden="false" customHeight="true" outlineLevel="0" collapsed="false">
      <c r="A23" s="6" t="n">
        <v>20</v>
      </c>
      <c r="B23" s="7" t="s">
        <v>319</v>
      </c>
      <c r="C23" s="7" t="s">
        <v>320</v>
      </c>
      <c r="D23" s="7" t="s">
        <v>321</v>
      </c>
      <c r="E23" s="7" t="s">
        <v>271</v>
      </c>
      <c r="F23" s="7" t="s">
        <v>322</v>
      </c>
      <c r="G23" s="7" t="s">
        <v>323</v>
      </c>
      <c r="H23" s="7" t="s">
        <v>148</v>
      </c>
      <c r="I23" s="7" t="s">
        <v>148</v>
      </c>
      <c r="J23" s="7" t="s">
        <v>165</v>
      </c>
      <c r="K23" s="7" t="s">
        <v>324</v>
      </c>
      <c r="L23" s="7" t="s">
        <v>325</v>
      </c>
      <c r="M23" s="7" t="s">
        <v>326</v>
      </c>
      <c r="N23" s="7" t="s">
        <v>265</v>
      </c>
      <c r="O23" s="7" t="s">
        <v>234</v>
      </c>
      <c r="P23" s="7" t="s">
        <v>125</v>
      </c>
      <c r="Q23" s="7" t="s">
        <v>327</v>
      </c>
      <c r="R23" s="7" t="s">
        <v>328</v>
      </c>
      <c r="S23" s="7" t="s">
        <v>303</v>
      </c>
    </row>
  </sheetData>
  <autoFilter ref="A3:S23"/>
  <mergeCells count="2">
    <mergeCell ref="A1:S1"/>
    <mergeCell ref="A2:S2"/>
  </mergeCells>
  <conditionalFormatting sqref="K4:K23">
    <cfRule type="expression" priority="2" aboveAverage="0" equalAverage="0" bottom="0" percent="0" rank="0" text="" dxfId="11">
      <formula>ISNUMBER(SEARCH("Very Low",K4))</formula>
    </cfRule>
    <cfRule type="expression" priority="3" aboveAverage="0" equalAverage="0" bottom="0" percent="0" rank="0" text="" dxfId="12">
      <formula>ISNUMBER(SEARCH("High",K4))</formula>
    </cfRule>
  </conditionalFormatting>
  <conditionalFormatting sqref="S4:S23">
    <cfRule type="expression" priority="4" aboveAverage="0" equalAverage="0" bottom="0" percent="0" rank="0" text="" dxfId="11">
      <formula>ISNUMBER(SEARCH("Verified",S4))</formula>
    </cfRule>
    <cfRule type="expression" priority="5" aboveAverage="0" equalAverage="0" bottom="0" percent="0" rank="0" text="" dxfId="13">
      <formula>ISNUMBER(SEARCH("vendor-positioned",S4))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56"/>
    <col collapsed="false" customWidth="true" hidden="false" outlineLevel="0" max="4" min="4" style="0" width="44"/>
  </cols>
  <sheetData>
    <row r="1" customFormat="false" ht="30" hidden="false" customHeight="true" outlineLevel="0" collapsed="false">
      <c r="A1" s="1" t="s">
        <v>329</v>
      </c>
      <c r="B1" s="1"/>
      <c r="C1" s="1"/>
      <c r="D1" s="1"/>
    </row>
    <row r="2" customFormat="false" ht="18" hidden="false" customHeight="true" outlineLevel="0" collapsed="false">
      <c r="A2" s="2" t="s">
        <v>330</v>
      </c>
      <c r="B2" s="2"/>
      <c r="C2" s="2"/>
      <c r="D2" s="2"/>
    </row>
    <row r="3" customFormat="false" ht="30" hidden="false" customHeight="true" outlineLevel="0" collapsed="false">
      <c r="A3" s="3" t="s">
        <v>331</v>
      </c>
      <c r="B3" s="3" t="s">
        <v>332</v>
      </c>
      <c r="C3" s="3" t="s">
        <v>333</v>
      </c>
      <c r="D3" s="3" t="s">
        <v>334</v>
      </c>
    </row>
    <row r="4" customFormat="false" ht="66" hidden="false" customHeight="true" outlineLevel="0" collapsed="false">
      <c r="A4" s="4" t="s">
        <v>45</v>
      </c>
      <c r="B4" s="5" t="s">
        <v>335</v>
      </c>
      <c r="C4" s="5" t="s">
        <v>336</v>
      </c>
      <c r="D4" s="5" t="s">
        <v>337</v>
      </c>
    </row>
    <row r="5" customFormat="false" ht="66" hidden="false" customHeight="true" outlineLevel="0" collapsed="false">
      <c r="A5" s="6" t="s">
        <v>63</v>
      </c>
      <c r="B5" s="7" t="s">
        <v>338</v>
      </c>
      <c r="C5" s="7" t="s">
        <v>339</v>
      </c>
      <c r="D5" s="7" t="s">
        <v>340</v>
      </c>
    </row>
    <row r="6" customFormat="false" ht="66" hidden="false" customHeight="true" outlineLevel="0" collapsed="false">
      <c r="A6" s="4" t="s">
        <v>341</v>
      </c>
      <c r="B6" s="5" t="s">
        <v>342</v>
      </c>
      <c r="C6" s="5" t="s">
        <v>343</v>
      </c>
      <c r="D6" s="5" t="s">
        <v>344</v>
      </c>
    </row>
    <row r="7" customFormat="false" ht="66" hidden="false" customHeight="true" outlineLevel="0" collapsed="false">
      <c r="A7" s="6" t="s">
        <v>345</v>
      </c>
      <c r="B7" s="7" t="s">
        <v>346</v>
      </c>
      <c r="C7" s="7" t="s">
        <v>347</v>
      </c>
      <c r="D7" s="7" t="s">
        <v>348</v>
      </c>
    </row>
    <row r="8" customFormat="false" ht="66" hidden="false" customHeight="true" outlineLevel="0" collapsed="false">
      <c r="A8" s="4" t="s">
        <v>349</v>
      </c>
      <c r="B8" s="5" t="s">
        <v>350</v>
      </c>
      <c r="C8" s="5" t="s">
        <v>351</v>
      </c>
      <c r="D8" s="5" t="s">
        <v>352</v>
      </c>
    </row>
    <row r="9" customFormat="false" ht="66" hidden="false" customHeight="true" outlineLevel="0" collapsed="false">
      <c r="A9" s="6" t="s">
        <v>353</v>
      </c>
      <c r="B9" s="7" t="s">
        <v>354</v>
      </c>
      <c r="C9" s="7" t="s">
        <v>355</v>
      </c>
      <c r="D9" s="7" t="s">
        <v>356</v>
      </c>
    </row>
    <row r="10" customFormat="false" ht="66" hidden="false" customHeight="true" outlineLevel="0" collapsed="false">
      <c r="A10" s="4" t="s">
        <v>357</v>
      </c>
      <c r="B10" s="5" t="s">
        <v>358</v>
      </c>
      <c r="C10" s="5" t="s">
        <v>359</v>
      </c>
      <c r="D10" s="5" t="s">
        <v>360</v>
      </c>
    </row>
    <row r="11" customFormat="false" ht="66" hidden="false" customHeight="true" outlineLevel="0" collapsed="false">
      <c r="A11" s="6" t="s">
        <v>159</v>
      </c>
      <c r="B11" s="7" t="s">
        <v>361</v>
      </c>
      <c r="C11" s="7" t="s">
        <v>362</v>
      </c>
      <c r="D11" s="7" t="s">
        <v>363</v>
      </c>
    </row>
    <row r="12" customFormat="false" ht="66" hidden="false" customHeight="true" outlineLevel="0" collapsed="false">
      <c r="A12" s="4" t="s">
        <v>173</v>
      </c>
      <c r="B12" s="5" t="s">
        <v>364</v>
      </c>
      <c r="C12" s="5" t="s">
        <v>365</v>
      </c>
      <c r="D12" s="5" t="s">
        <v>366</v>
      </c>
    </row>
    <row r="13" customFormat="false" ht="66" hidden="false" customHeight="true" outlineLevel="0" collapsed="false">
      <c r="A13" s="6" t="s">
        <v>367</v>
      </c>
      <c r="B13" s="7" t="s">
        <v>368</v>
      </c>
      <c r="C13" s="7" t="s">
        <v>369</v>
      </c>
      <c r="D13" s="7" t="s">
        <v>370</v>
      </c>
    </row>
    <row r="14" customFormat="false" ht="66" hidden="false" customHeight="true" outlineLevel="0" collapsed="false">
      <c r="A14" s="4" t="s">
        <v>202</v>
      </c>
      <c r="B14" s="5" t="s">
        <v>371</v>
      </c>
      <c r="C14" s="5" t="s">
        <v>372</v>
      </c>
      <c r="D14" s="5" t="s">
        <v>373</v>
      </c>
    </row>
    <row r="15" customFormat="false" ht="66" hidden="false" customHeight="true" outlineLevel="0" collapsed="false">
      <c r="A15" s="6" t="s">
        <v>374</v>
      </c>
      <c r="B15" s="7" t="s">
        <v>375</v>
      </c>
      <c r="C15" s="7" t="s">
        <v>376</v>
      </c>
      <c r="D15" s="7" t="s">
        <v>377</v>
      </c>
    </row>
    <row r="16" customFormat="false" ht="66" hidden="false" customHeight="true" outlineLevel="0" collapsed="false">
      <c r="A16" s="4" t="s">
        <v>378</v>
      </c>
      <c r="B16" s="5" t="s">
        <v>379</v>
      </c>
      <c r="C16" s="5" t="s">
        <v>380</v>
      </c>
      <c r="D16" s="5" t="s">
        <v>381</v>
      </c>
    </row>
    <row r="17" customFormat="false" ht="66" hidden="false" customHeight="true" outlineLevel="0" collapsed="false">
      <c r="A17" s="6" t="s">
        <v>237</v>
      </c>
      <c r="B17" s="7" t="s">
        <v>382</v>
      </c>
      <c r="C17" s="7" t="s">
        <v>383</v>
      </c>
      <c r="D17" s="7" t="s">
        <v>384</v>
      </c>
    </row>
    <row r="18" customFormat="false" ht="66" hidden="false" customHeight="true" outlineLevel="0" collapsed="false">
      <c r="A18" s="4" t="s">
        <v>385</v>
      </c>
      <c r="B18" s="5" t="s">
        <v>386</v>
      </c>
      <c r="C18" s="5" t="s">
        <v>387</v>
      </c>
      <c r="D18" s="5" t="s">
        <v>388</v>
      </c>
    </row>
    <row r="19" customFormat="false" ht="66" hidden="false" customHeight="true" outlineLevel="0" collapsed="false">
      <c r="A19" s="6" t="s">
        <v>269</v>
      </c>
      <c r="B19" s="7" t="s">
        <v>389</v>
      </c>
      <c r="C19" s="7" t="s">
        <v>390</v>
      </c>
      <c r="D19" s="7" t="s">
        <v>391</v>
      </c>
    </row>
    <row r="20" customFormat="false" ht="66" hidden="false" customHeight="true" outlineLevel="0" collapsed="false">
      <c r="A20" s="4" t="s">
        <v>282</v>
      </c>
      <c r="B20" s="5" t="s">
        <v>392</v>
      </c>
      <c r="C20" s="5" t="s">
        <v>393</v>
      </c>
      <c r="D20" s="5" t="s">
        <v>394</v>
      </c>
    </row>
    <row r="21" customFormat="false" ht="66" hidden="false" customHeight="true" outlineLevel="0" collapsed="false">
      <c r="A21" s="6" t="s">
        <v>291</v>
      </c>
      <c r="B21" s="7" t="s">
        <v>395</v>
      </c>
      <c r="C21" s="7" t="s">
        <v>396</v>
      </c>
      <c r="D21" s="7" t="s">
        <v>397</v>
      </c>
    </row>
    <row r="22" customFormat="false" ht="66" hidden="false" customHeight="true" outlineLevel="0" collapsed="false">
      <c r="A22" s="4" t="s">
        <v>304</v>
      </c>
      <c r="B22" s="5" t="s">
        <v>398</v>
      </c>
      <c r="C22" s="5" t="s">
        <v>399</v>
      </c>
      <c r="D22" s="5" t="s">
        <v>400</v>
      </c>
    </row>
    <row r="23" customFormat="false" ht="66" hidden="false" customHeight="true" outlineLevel="0" collapsed="false">
      <c r="A23" s="6" t="s">
        <v>319</v>
      </c>
      <c r="B23" s="7" t="s">
        <v>401</v>
      </c>
      <c r="C23" s="7" t="s">
        <v>402</v>
      </c>
      <c r="D23" s="7" t="s">
        <v>403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44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18"/>
    <col collapsed="false" customWidth="true" hidden="false" outlineLevel="0" max="7" min="7" style="0" width="24"/>
  </cols>
  <sheetData>
    <row r="1" customFormat="false" ht="30" hidden="false" customHeight="true" outlineLevel="0" collapsed="false">
      <c r="A1" s="1" t="s">
        <v>404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405</v>
      </c>
      <c r="B2" s="2"/>
      <c r="C2" s="2"/>
      <c r="D2" s="2"/>
      <c r="E2" s="2"/>
      <c r="F2" s="2"/>
      <c r="G2" s="2"/>
    </row>
    <row r="3" customFormat="false" ht="30" hidden="false" customHeight="true" outlineLevel="0" collapsed="false">
      <c r="A3" s="3" t="s">
        <v>331</v>
      </c>
      <c r="B3" s="3" t="s">
        <v>406</v>
      </c>
      <c r="C3" s="3" t="s">
        <v>407</v>
      </c>
      <c r="D3" s="3" t="s">
        <v>408</v>
      </c>
      <c r="E3" s="3" t="s">
        <v>409</v>
      </c>
      <c r="F3" s="3" t="s">
        <v>410</v>
      </c>
      <c r="G3" s="3" t="s">
        <v>411</v>
      </c>
    </row>
    <row r="4" customFormat="false" ht="43.5" hidden="false" customHeight="true" outlineLevel="0" collapsed="false">
      <c r="A4" s="4" t="s">
        <v>45</v>
      </c>
      <c r="B4" s="5" t="s">
        <v>412</v>
      </c>
      <c r="C4" s="5" t="s">
        <v>413</v>
      </c>
      <c r="D4" s="5" t="s">
        <v>414</v>
      </c>
      <c r="E4" s="5" t="s">
        <v>415</v>
      </c>
      <c r="F4" s="5" t="s">
        <v>416</v>
      </c>
      <c r="G4" s="5" t="s">
        <v>62</v>
      </c>
    </row>
    <row r="5" customFormat="false" ht="43.5" hidden="false" customHeight="true" outlineLevel="0" collapsed="false">
      <c r="A5" s="6" t="s">
        <v>63</v>
      </c>
      <c r="B5" s="7" t="s">
        <v>75</v>
      </c>
      <c r="C5" s="7" t="s">
        <v>417</v>
      </c>
      <c r="D5" s="7" t="s">
        <v>418</v>
      </c>
      <c r="E5" s="7" t="s">
        <v>419</v>
      </c>
      <c r="F5" s="7" t="s">
        <v>420</v>
      </c>
      <c r="G5" s="7" t="s">
        <v>421</v>
      </c>
    </row>
    <row r="6" customFormat="false" ht="43.5" hidden="false" customHeight="true" outlineLevel="0" collapsed="false">
      <c r="A6" s="4" t="s">
        <v>341</v>
      </c>
      <c r="B6" s="5" t="s">
        <v>422</v>
      </c>
      <c r="C6" s="5" t="s">
        <v>423</v>
      </c>
      <c r="D6" s="5" t="s">
        <v>424</v>
      </c>
      <c r="E6" s="5" t="s">
        <v>425</v>
      </c>
      <c r="F6" s="5" t="s">
        <v>426</v>
      </c>
      <c r="G6" s="5" t="s">
        <v>96</v>
      </c>
    </row>
    <row r="7" customFormat="false" ht="43.5" hidden="false" customHeight="true" outlineLevel="0" collapsed="false">
      <c r="A7" s="6" t="s">
        <v>345</v>
      </c>
      <c r="B7" s="7" t="s">
        <v>427</v>
      </c>
      <c r="C7" s="7" t="s">
        <v>428</v>
      </c>
      <c r="D7" s="7" t="s">
        <v>429</v>
      </c>
      <c r="E7" s="7" t="s">
        <v>110</v>
      </c>
      <c r="F7" s="7" t="s">
        <v>426</v>
      </c>
      <c r="G7" s="7" t="s">
        <v>430</v>
      </c>
    </row>
    <row r="8" customFormat="false" ht="43.5" hidden="false" customHeight="true" outlineLevel="0" collapsed="false">
      <c r="A8" s="4" t="s">
        <v>349</v>
      </c>
      <c r="B8" s="5" t="s">
        <v>431</v>
      </c>
      <c r="C8" s="5" t="s">
        <v>432</v>
      </c>
      <c r="D8" s="5" t="s">
        <v>433</v>
      </c>
      <c r="E8" s="5" t="s">
        <v>125</v>
      </c>
      <c r="F8" s="5" t="s">
        <v>434</v>
      </c>
      <c r="G8" s="5" t="s">
        <v>96</v>
      </c>
    </row>
    <row r="9" customFormat="false" ht="43.5" hidden="false" customHeight="true" outlineLevel="0" collapsed="false">
      <c r="A9" s="6" t="s">
        <v>353</v>
      </c>
      <c r="B9" s="7" t="s">
        <v>139</v>
      </c>
      <c r="C9" s="7" t="s">
        <v>435</v>
      </c>
      <c r="D9" s="7" t="s">
        <v>436</v>
      </c>
      <c r="E9" s="7" t="s">
        <v>141</v>
      </c>
      <c r="F9" s="7" t="s">
        <v>426</v>
      </c>
      <c r="G9" s="7" t="s">
        <v>96</v>
      </c>
    </row>
    <row r="10" customFormat="false" ht="43.5" hidden="false" customHeight="true" outlineLevel="0" collapsed="false">
      <c r="A10" s="4" t="s">
        <v>357</v>
      </c>
      <c r="B10" s="5" t="s">
        <v>437</v>
      </c>
      <c r="C10" s="5" t="s">
        <v>438</v>
      </c>
      <c r="D10" s="5" t="s">
        <v>439</v>
      </c>
      <c r="E10" s="5" t="s">
        <v>440</v>
      </c>
      <c r="F10" s="5" t="s">
        <v>426</v>
      </c>
      <c r="G10" s="5" t="s">
        <v>96</v>
      </c>
    </row>
    <row r="11" customFormat="false" ht="43.5" hidden="false" customHeight="true" outlineLevel="0" collapsed="false">
      <c r="A11" s="6" t="s">
        <v>159</v>
      </c>
      <c r="B11" s="7" t="s">
        <v>168</v>
      </c>
      <c r="C11" s="7" t="s">
        <v>438</v>
      </c>
      <c r="D11" s="7" t="s">
        <v>441</v>
      </c>
      <c r="E11" s="7" t="s">
        <v>170</v>
      </c>
      <c r="F11" s="7" t="s">
        <v>426</v>
      </c>
      <c r="G11" s="7" t="s">
        <v>96</v>
      </c>
    </row>
    <row r="12" customFormat="false" ht="43.5" hidden="false" customHeight="true" outlineLevel="0" collapsed="false">
      <c r="A12" s="4" t="s">
        <v>173</v>
      </c>
      <c r="B12" s="5" t="s">
        <v>183</v>
      </c>
      <c r="C12" s="5" t="s">
        <v>184</v>
      </c>
      <c r="D12" s="5" t="s">
        <v>442</v>
      </c>
      <c r="E12" s="5" t="s">
        <v>185</v>
      </c>
      <c r="F12" s="5" t="s">
        <v>426</v>
      </c>
      <c r="G12" s="5" t="s">
        <v>96</v>
      </c>
    </row>
    <row r="13" customFormat="false" ht="43.5" hidden="false" customHeight="true" outlineLevel="0" collapsed="false">
      <c r="A13" s="6" t="s">
        <v>367</v>
      </c>
      <c r="B13" s="7" t="s">
        <v>443</v>
      </c>
      <c r="C13" s="7" t="s">
        <v>444</v>
      </c>
      <c r="D13" s="7" t="s">
        <v>445</v>
      </c>
      <c r="E13" s="7" t="s">
        <v>170</v>
      </c>
      <c r="F13" s="7" t="s">
        <v>426</v>
      </c>
      <c r="G13" s="7" t="s">
        <v>96</v>
      </c>
    </row>
    <row r="14" customFormat="false" ht="43.5" hidden="false" customHeight="true" outlineLevel="0" collapsed="false">
      <c r="A14" s="4" t="s">
        <v>202</v>
      </c>
      <c r="B14" s="5" t="s">
        <v>211</v>
      </c>
      <c r="C14" s="5" t="s">
        <v>446</v>
      </c>
      <c r="D14" s="5" t="s">
        <v>447</v>
      </c>
      <c r="E14" s="5" t="s">
        <v>125</v>
      </c>
      <c r="F14" s="5" t="s">
        <v>434</v>
      </c>
      <c r="G14" s="5" t="s">
        <v>96</v>
      </c>
    </row>
    <row r="15" customFormat="false" ht="43.5" hidden="false" customHeight="true" outlineLevel="0" collapsed="false">
      <c r="A15" s="6" t="s">
        <v>374</v>
      </c>
      <c r="B15" s="7" t="s">
        <v>448</v>
      </c>
      <c r="C15" s="7" t="s">
        <v>449</v>
      </c>
      <c r="D15" s="7" t="s">
        <v>450</v>
      </c>
      <c r="E15" s="7" t="s">
        <v>125</v>
      </c>
      <c r="F15" s="7" t="s">
        <v>426</v>
      </c>
      <c r="G15" s="7" t="s">
        <v>96</v>
      </c>
    </row>
    <row r="16" customFormat="false" ht="43.5" hidden="false" customHeight="true" outlineLevel="0" collapsed="false">
      <c r="A16" s="4" t="s">
        <v>378</v>
      </c>
      <c r="B16" s="5" t="s">
        <v>168</v>
      </c>
      <c r="C16" s="5" t="s">
        <v>451</v>
      </c>
      <c r="D16" s="5" t="s">
        <v>452</v>
      </c>
      <c r="E16" s="5" t="s">
        <v>170</v>
      </c>
      <c r="F16" s="5" t="s">
        <v>426</v>
      </c>
      <c r="G16" s="5" t="s">
        <v>96</v>
      </c>
    </row>
    <row r="17" customFormat="false" ht="43.5" hidden="false" customHeight="true" outlineLevel="0" collapsed="false">
      <c r="A17" s="6" t="s">
        <v>237</v>
      </c>
      <c r="B17" s="7" t="s">
        <v>453</v>
      </c>
      <c r="C17" s="7" t="s">
        <v>454</v>
      </c>
      <c r="D17" s="7" t="s">
        <v>455</v>
      </c>
      <c r="E17" s="7" t="s">
        <v>456</v>
      </c>
      <c r="F17" s="7" t="s">
        <v>457</v>
      </c>
      <c r="G17" s="7" t="s">
        <v>458</v>
      </c>
    </row>
    <row r="18" customFormat="false" ht="43.5" hidden="false" customHeight="true" outlineLevel="0" collapsed="false">
      <c r="A18" s="4" t="s">
        <v>385</v>
      </c>
      <c r="B18" s="5" t="s">
        <v>459</v>
      </c>
      <c r="C18" s="5" t="s">
        <v>265</v>
      </c>
      <c r="D18" s="5" t="s">
        <v>460</v>
      </c>
      <c r="E18" s="5" t="s">
        <v>266</v>
      </c>
      <c r="F18" s="5" t="s">
        <v>434</v>
      </c>
      <c r="G18" s="5" t="s">
        <v>96</v>
      </c>
    </row>
    <row r="19" customFormat="false" ht="43.5" hidden="false" customHeight="true" outlineLevel="0" collapsed="false">
      <c r="A19" s="6" t="s">
        <v>269</v>
      </c>
      <c r="B19" s="7" t="s">
        <v>278</v>
      </c>
      <c r="C19" s="7" t="s">
        <v>279</v>
      </c>
      <c r="D19" s="7" t="s">
        <v>461</v>
      </c>
      <c r="E19" s="7" t="s">
        <v>250</v>
      </c>
      <c r="F19" s="7" t="s">
        <v>434</v>
      </c>
      <c r="G19" s="7" t="s">
        <v>96</v>
      </c>
    </row>
    <row r="20" customFormat="false" ht="43.5" hidden="false" customHeight="true" outlineLevel="0" collapsed="false">
      <c r="A20" s="4" t="s">
        <v>282</v>
      </c>
      <c r="B20" s="5" t="s">
        <v>234</v>
      </c>
      <c r="C20" s="5" t="s">
        <v>451</v>
      </c>
      <c r="D20" s="5" t="s">
        <v>462</v>
      </c>
      <c r="E20" s="5" t="s">
        <v>125</v>
      </c>
      <c r="F20" s="5" t="s">
        <v>426</v>
      </c>
      <c r="G20" s="5" t="s">
        <v>96</v>
      </c>
    </row>
    <row r="21" customFormat="false" ht="43.5" hidden="false" customHeight="true" outlineLevel="0" collapsed="false">
      <c r="A21" s="6" t="s">
        <v>291</v>
      </c>
      <c r="B21" s="7" t="s">
        <v>299</v>
      </c>
      <c r="C21" s="7" t="s">
        <v>300</v>
      </c>
      <c r="D21" s="7" t="s">
        <v>463</v>
      </c>
      <c r="E21" s="7" t="s">
        <v>125</v>
      </c>
      <c r="F21" s="7" t="s">
        <v>434</v>
      </c>
      <c r="G21" s="7" t="s">
        <v>464</v>
      </c>
    </row>
    <row r="22" customFormat="false" ht="43.5" hidden="false" customHeight="true" outlineLevel="0" collapsed="false">
      <c r="A22" s="4" t="s">
        <v>304</v>
      </c>
      <c r="B22" s="5" t="s">
        <v>465</v>
      </c>
      <c r="C22" s="5" t="s">
        <v>315</v>
      </c>
      <c r="D22" s="5" t="s">
        <v>466</v>
      </c>
      <c r="E22" s="5" t="s">
        <v>316</v>
      </c>
      <c r="F22" s="5" t="s">
        <v>457</v>
      </c>
      <c r="G22" s="5" t="s">
        <v>464</v>
      </c>
    </row>
    <row r="23" customFormat="false" ht="43.5" hidden="false" customHeight="true" outlineLevel="0" collapsed="false">
      <c r="A23" s="6" t="s">
        <v>319</v>
      </c>
      <c r="B23" s="7" t="s">
        <v>265</v>
      </c>
      <c r="C23" s="7" t="s">
        <v>234</v>
      </c>
      <c r="D23" s="7" t="s">
        <v>467</v>
      </c>
      <c r="E23" s="7" t="s">
        <v>125</v>
      </c>
      <c r="F23" s="7" t="s">
        <v>434</v>
      </c>
      <c r="G23" s="7" t="s">
        <v>464</v>
      </c>
    </row>
  </sheetData>
  <mergeCells count="2">
    <mergeCell ref="A1:G1"/>
    <mergeCell ref="A2:G2"/>
  </mergeCells>
  <conditionalFormatting sqref="G4:G23">
    <cfRule type="expression" priority="2" aboveAverage="0" equalAverage="0" bottom="0" percent="0" rank="0" text="" dxfId="11">
      <formula>ISNUMBER(SEARCH("Verified",G4))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6"/>
    <col collapsed="false" customWidth="true" hidden="false" outlineLevel="0" max="4" min="4" style="0" width="60"/>
    <col collapsed="false" customWidth="true" hidden="false" outlineLevel="0" max="5" min="5" style="0" width="54"/>
  </cols>
  <sheetData>
    <row r="1" customFormat="false" ht="30" hidden="false" customHeight="true" outlineLevel="0" collapsed="false">
      <c r="A1" s="1" t="s">
        <v>468</v>
      </c>
      <c r="B1" s="1"/>
      <c r="C1" s="1"/>
      <c r="D1" s="1"/>
      <c r="E1" s="1"/>
    </row>
    <row r="2" customFormat="false" ht="18" hidden="false" customHeight="true" outlineLevel="0" collapsed="false">
      <c r="A2" s="2" t="s">
        <v>469</v>
      </c>
      <c r="B2" s="2"/>
      <c r="C2" s="2"/>
      <c r="D2" s="2"/>
      <c r="E2" s="2"/>
    </row>
    <row r="3" customFormat="false" ht="30" hidden="false" customHeight="true" outlineLevel="0" collapsed="false">
      <c r="A3" s="3" t="s">
        <v>470</v>
      </c>
      <c r="B3" s="3" t="s">
        <v>471</v>
      </c>
      <c r="C3" s="3" t="s">
        <v>472</v>
      </c>
      <c r="D3" s="3" t="s">
        <v>473</v>
      </c>
      <c r="E3" s="3" t="s">
        <v>474</v>
      </c>
    </row>
    <row r="4" customFormat="false" ht="51.75" hidden="false" customHeight="true" outlineLevel="0" collapsed="false">
      <c r="A4" s="4" t="s">
        <v>475</v>
      </c>
      <c r="B4" s="5" t="s">
        <v>476</v>
      </c>
      <c r="C4" s="5" t="s">
        <v>477</v>
      </c>
      <c r="D4" s="5" t="s">
        <v>478</v>
      </c>
      <c r="E4" s="5" t="s">
        <v>479</v>
      </c>
    </row>
    <row r="5" customFormat="false" ht="51.75" hidden="false" customHeight="true" outlineLevel="0" collapsed="false">
      <c r="A5" s="6" t="s">
        <v>480</v>
      </c>
      <c r="B5" s="7" t="s">
        <v>378</v>
      </c>
      <c r="C5" s="7" t="s">
        <v>481</v>
      </c>
      <c r="D5" s="7" t="s">
        <v>482</v>
      </c>
      <c r="E5" s="7" t="s">
        <v>483</v>
      </c>
    </row>
    <row r="6" customFormat="false" ht="51.75" hidden="false" customHeight="true" outlineLevel="0" collapsed="false">
      <c r="A6" s="4" t="s">
        <v>484</v>
      </c>
      <c r="B6" s="5" t="s">
        <v>485</v>
      </c>
      <c r="C6" s="5" t="s">
        <v>486</v>
      </c>
      <c r="D6" s="5" t="s">
        <v>487</v>
      </c>
      <c r="E6" s="5" t="s">
        <v>488</v>
      </c>
    </row>
    <row r="7" customFormat="false" ht="51.75" hidden="false" customHeight="true" outlineLevel="0" collapsed="false">
      <c r="A7" s="6" t="s">
        <v>489</v>
      </c>
      <c r="B7" s="7" t="s">
        <v>490</v>
      </c>
      <c r="C7" s="7" t="s">
        <v>491</v>
      </c>
      <c r="D7" s="7" t="s">
        <v>492</v>
      </c>
      <c r="E7" s="7" t="s">
        <v>493</v>
      </c>
    </row>
    <row r="8" customFormat="false" ht="51.75" hidden="false" customHeight="true" outlineLevel="0" collapsed="false">
      <c r="A8" s="4" t="s">
        <v>494</v>
      </c>
      <c r="B8" s="5" t="s">
        <v>495</v>
      </c>
      <c r="C8" s="5" t="s">
        <v>496</v>
      </c>
      <c r="D8" s="5" t="s">
        <v>497</v>
      </c>
      <c r="E8" s="5" t="s">
        <v>498</v>
      </c>
    </row>
    <row r="9" customFormat="false" ht="51.75" hidden="false" customHeight="true" outlineLevel="0" collapsed="false">
      <c r="A9" s="6" t="s">
        <v>499</v>
      </c>
      <c r="B9" s="7" t="s">
        <v>357</v>
      </c>
      <c r="C9" s="7" t="s">
        <v>500</v>
      </c>
      <c r="D9" s="7" t="s">
        <v>501</v>
      </c>
      <c r="E9" s="7" t="s">
        <v>502</v>
      </c>
    </row>
    <row r="10" customFormat="false" ht="51.75" hidden="false" customHeight="true" outlineLevel="0" collapsed="false">
      <c r="A10" s="4" t="s">
        <v>503</v>
      </c>
      <c r="B10" s="5" t="s">
        <v>345</v>
      </c>
      <c r="C10" s="5" t="s">
        <v>504</v>
      </c>
      <c r="D10" s="5" t="s">
        <v>505</v>
      </c>
      <c r="E10" s="5" t="s">
        <v>506</v>
      </c>
    </row>
    <row r="11" customFormat="false" ht="51.75" hidden="false" customHeight="true" outlineLevel="0" collapsed="false">
      <c r="A11" s="6" t="s">
        <v>349</v>
      </c>
      <c r="B11" s="7" t="s">
        <v>113</v>
      </c>
      <c r="C11" s="7" t="s">
        <v>507</v>
      </c>
      <c r="D11" s="7" t="s">
        <v>508</v>
      </c>
      <c r="E11" s="7" t="s">
        <v>509</v>
      </c>
    </row>
    <row r="12" customFormat="false" ht="51.75" hidden="false" customHeight="true" outlineLevel="0" collapsed="false">
      <c r="A12" s="4" t="s">
        <v>510</v>
      </c>
      <c r="B12" s="5" t="s">
        <v>341</v>
      </c>
      <c r="C12" s="5" t="s">
        <v>511</v>
      </c>
      <c r="D12" s="5" t="s">
        <v>512</v>
      </c>
      <c r="E12" s="5" t="s">
        <v>513</v>
      </c>
    </row>
    <row r="13" customFormat="false" ht="51.75" hidden="false" customHeight="true" outlineLevel="0" collapsed="false">
      <c r="A13" s="6" t="s">
        <v>514</v>
      </c>
      <c r="B13" s="7" t="s">
        <v>515</v>
      </c>
      <c r="C13" s="7" t="s">
        <v>122</v>
      </c>
      <c r="D13" s="7" t="s">
        <v>516</v>
      </c>
      <c r="E13" s="7" t="s">
        <v>517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5"/>
  </cols>
  <sheetData>
    <row r="1" customFormat="false" ht="30" hidden="false" customHeight="true" outlineLevel="0" collapsed="false">
      <c r="A1" s="1" t="s">
        <v>518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519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3" t="s">
        <v>520</v>
      </c>
      <c r="B4" s="8" t="s">
        <v>521</v>
      </c>
      <c r="C4" s="8" t="s">
        <v>345</v>
      </c>
      <c r="D4" s="8" t="s">
        <v>353</v>
      </c>
      <c r="E4" s="8" t="s">
        <v>237</v>
      </c>
      <c r="F4" s="8" t="s">
        <v>522</v>
      </c>
      <c r="G4" s="8" t="s">
        <v>523</v>
      </c>
    </row>
    <row r="5" customFormat="false" ht="24" hidden="false" customHeight="true" outlineLevel="0" collapsed="false">
      <c r="A5" s="9" t="s">
        <v>524</v>
      </c>
      <c r="B5" s="10" t="n">
        <v>0.18</v>
      </c>
      <c r="C5" s="11" t="n">
        <v>5</v>
      </c>
      <c r="D5" s="11" t="n">
        <v>4</v>
      </c>
      <c r="E5" s="11" t="n">
        <v>4</v>
      </c>
      <c r="F5" s="11"/>
      <c r="G5" s="11"/>
    </row>
    <row r="6" customFormat="false" ht="24" hidden="false" customHeight="true" outlineLevel="0" collapsed="false">
      <c r="A6" s="12" t="s">
        <v>525</v>
      </c>
      <c r="B6" s="13" t="n">
        <v>0.15</v>
      </c>
      <c r="C6" s="14" t="n">
        <v>5</v>
      </c>
      <c r="D6" s="14" t="n">
        <v>5</v>
      </c>
      <c r="E6" s="14" t="n">
        <v>3</v>
      </c>
      <c r="F6" s="14"/>
      <c r="G6" s="14"/>
    </row>
    <row r="7" customFormat="false" ht="24" hidden="false" customHeight="true" outlineLevel="0" collapsed="false">
      <c r="A7" s="9" t="s">
        <v>526</v>
      </c>
      <c r="B7" s="10" t="n">
        <v>0.1</v>
      </c>
      <c r="C7" s="11" t="n">
        <v>5</v>
      </c>
      <c r="D7" s="11" t="n">
        <v>5</v>
      </c>
      <c r="E7" s="11" t="n">
        <v>4</v>
      </c>
      <c r="F7" s="11"/>
      <c r="G7" s="11"/>
    </row>
    <row r="8" customFormat="false" ht="24" hidden="false" customHeight="true" outlineLevel="0" collapsed="false">
      <c r="A8" s="12" t="s">
        <v>527</v>
      </c>
      <c r="B8" s="13" t="n">
        <v>0.08</v>
      </c>
      <c r="C8" s="14" t="n">
        <v>4</v>
      </c>
      <c r="D8" s="14" t="n">
        <v>4</v>
      </c>
      <c r="E8" s="14" t="n">
        <v>4</v>
      </c>
      <c r="F8" s="14"/>
      <c r="G8" s="14"/>
    </row>
    <row r="9" customFormat="false" ht="24" hidden="false" customHeight="true" outlineLevel="0" collapsed="false">
      <c r="A9" s="9" t="s">
        <v>528</v>
      </c>
      <c r="B9" s="10" t="n">
        <v>0.12</v>
      </c>
      <c r="C9" s="11" t="n">
        <v>4</v>
      </c>
      <c r="D9" s="11" t="n">
        <v>4</v>
      </c>
      <c r="E9" s="11" t="n">
        <v>5</v>
      </c>
      <c r="F9" s="11"/>
      <c r="G9" s="11"/>
    </row>
    <row r="10" customFormat="false" ht="24" hidden="false" customHeight="true" outlineLevel="0" collapsed="false">
      <c r="A10" s="12" t="s">
        <v>529</v>
      </c>
      <c r="B10" s="13" t="n">
        <v>0.1</v>
      </c>
      <c r="C10" s="14" t="n">
        <v>5</v>
      </c>
      <c r="D10" s="14" t="n">
        <v>5</v>
      </c>
      <c r="E10" s="14" t="n">
        <v>3</v>
      </c>
      <c r="F10" s="14"/>
      <c r="G10" s="14"/>
    </row>
    <row r="11" customFormat="false" ht="24" hidden="false" customHeight="true" outlineLevel="0" collapsed="false">
      <c r="A11" s="9" t="s">
        <v>530</v>
      </c>
      <c r="B11" s="10" t="n">
        <v>0.08</v>
      </c>
      <c r="C11" s="11" t="n">
        <v>4</v>
      </c>
      <c r="D11" s="11" t="n">
        <v>5</v>
      </c>
      <c r="E11" s="11" t="n">
        <v>3</v>
      </c>
      <c r="F11" s="11"/>
      <c r="G11" s="11"/>
    </row>
    <row r="12" customFormat="false" ht="24" hidden="false" customHeight="true" outlineLevel="0" collapsed="false">
      <c r="A12" s="12" t="s">
        <v>531</v>
      </c>
      <c r="B12" s="13" t="n">
        <v>0.05</v>
      </c>
      <c r="C12" s="14" t="n">
        <v>4</v>
      </c>
      <c r="D12" s="14" t="n">
        <v>3</v>
      </c>
      <c r="E12" s="14" t="n">
        <v>4</v>
      </c>
      <c r="F12" s="14"/>
      <c r="G12" s="14"/>
    </row>
    <row r="13" customFormat="false" ht="24" hidden="false" customHeight="true" outlineLevel="0" collapsed="false">
      <c r="A13" s="9" t="s">
        <v>532</v>
      </c>
      <c r="B13" s="10" t="n">
        <v>0.08</v>
      </c>
      <c r="C13" s="11" t="n">
        <v>3</v>
      </c>
      <c r="D13" s="11" t="n">
        <v>2</v>
      </c>
      <c r="E13" s="11" t="n">
        <v>4</v>
      </c>
      <c r="F13" s="11"/>
      <c r="G13" s="11"/>
    </row>
    <row r="14" customFormat="false" ht="24" hidden="false" customHeight="true" outlineLevel="0" collapsed="false">
      <c r="A14" s="12" t="s">
        <v>533</v>
      </c>
      <c r="B14" s="13" t="n">
        <v>0.06</v>
      </c>
      <c r="C14" s="14" t="n">
        <v>4</v>
      </c>
      <c r="D14" s="14" t="n">
        <v>4</v>
      </c>
      <c r="E14" s="14" t="n">
        <v>4</v>
      </c>
      <c r="F14" s="14"/>
      <c r="G14" s="14"/>
    </row>
    <row r="15" customFormat="false" ht="15" hidden="false" customHeight="false" outlineLevel="0" collapsed="false">
      <c r="A15" s="15" t="s">
        <v>534</v>
      </c>
      <c r="B15" s="16" t="n">
        <f aca="false">SUM(B5:B14)</f>
        <v>1</v>
      </c>
      <c r="C15" s="17"/>
      <c r="D15" s="17"/>
      <c r="E15" s="17"/>
      <c r="F15" s="17"/>
      <c r="G15" s="17"/>
    </row>
    <row r="16" customFormat="false" ht="15" hidden="false" customHeight="false" outlineLevel="0" collapsed="false">
      <c r="A16" s="18" t="s">
        <v>535</v>
      </c>
      <c r="B16" s="19"/>
      <c r="C16" s="20" t="n">
        <f aca="false">SUMPRODUCT($B5:$B14,C5:C14)</f>
        <v>4.45</v>
      </c>
      <c r="D16" s="20" t="n">
        <f aca="false">SUMPRODUCT($B5:$B14,D5:D14)</f>
        <v>4.22</v>
      </c>
      <c r="E16" s="20" t="n">
        <f aca="false">SUMPRODUCT($B5:$B14,E5:E14)</f>
        <v>3.79</v>
      </c>
      <c r="F16" s="20" t="n">
        <f aca="false">SUMPRODUCT($B5:$B14,F5:F14)</f>
        <v>0</v>
      </c>
      <c r="G16" s="20" t="n">
        <f aca="false">SUMPRODUCT($B5:$B14,G5:G14)</f>
        <v>0</v>
      </c>
    </row>
    <row r="17" customFormat="false" ht="15" hidden="false" customHeight="false" outlineLevel="0" collapsed="false">
      <c r="A17" s="21" t="s">
        <v>536</v>
      </c>
      <c r="B17" s="22"/>
      <c r="C17" s="23" t="n">
        <f aca="false">C16/5*100</f>
        <v>89</v>
      </c>
      <c r="D17" s="23" t="n">
        <f aca="false">D16/5*100</f>
        <v>84.4</v>
      </c>
      <c r="E17" s="23" t="n">
        <f aca="false">E16/5*100</f>
        <v>75.8</v>
      </c>
      <c r="F17" s="23" t="n">
        <f aca="false">F16/5*100</f>
        <v>0</v>
      </c>
      <c r="G17" s="23" t="n">
        <f aca="false">G16/5*100</f>
        <v>0</v>
      </c>
    </row>
    <row r="18" customFormat="false" ht="15" hidden="false" customHeight="false" outlineLevel="0" collapsed="false">
      <c r="A18" s="24" t="s">
        <v>537</v>
      </c>
      <c r="B18" s="25"/>
      <c r="C18" s="26" t="n">
        <f aca="false">IF(C16="","",RANK(C16,$C$16:$G$16,0))</f>
        <v>1</v>
      </c>
      <c r="D18" s="26" t="n">
        <f aca="false">IF(D16="","",RANK(D16,$C$16:$G$16,0))</f>
        <v>2</v>
      </c>
      <c r="E18" s="26" t="n">
        <f aca="false">IF(E16="","",RANK(E16,$C$16:$G$16,0))</f>
        <v>3</v>
      </c>
      <c r="F18" s="26" t="n">
        <f aca="false">IF(F16="","",RANK(F16,$C$16:$G$16,0))</f>
        <v>4</v>
      </c>
      <c r="G18" s="26" t="n">
        <f aca="false">IF(G16="","",RANK(G16,$C$16:$G$16,0))</f>
        <v>4</v>
      </c>
    </row>
    <row r="20" customFormat="false" ht="30" hidden="false" customHeight="true" outlineLevel="0" collapsed="false">
      <c r="A20" s="27" t="s">
        <v>538</v>
      </c>
      <c r="B20" s="27"/>
      <c r="C20" s="27"/>
      <c r="D20" s="27"/>
      <c r="E20" s="27"/>
      <c r="F20" s="27"/>
      <c r="G20" s="27"/>
    </row>
  </sheetData>
  <mergeCells count="3">
    <mergeCell ref="A1:H1"/>
    <mergeCell ref="A2:H2"/>
    <mergeCell ref="A20:G20"/>
  </mergeCells>
  <dataValidations count="1">
    <dataValidation allowBlank="true" errorStyle="stop" operator="between" showDropDown="false" showErrorMessage="false" showInputMessage="false" sqref="C5:G1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6"/>
    <col collapsed="false" customWidth="true" hidden="false" outlineLevel="0" max="3" min="3" style="0" width="50"/>
    <col collapsed="false" customWidth="true" hidden="false" outlineLevel="0" max="4" min="4" style="0" width="12"/>
  </cols>
  <sheetData>
    <row r="1" customFormat="false" ht="30" hidden="false" customHeight="true" outlineLevel="0" collapsed="false">
      <c r="A1" s="1" t="s">
        <v>539</v>
      </c>
      <c r="B1" s="1"/>
      <c r="C1" s="1"/>
      <c r="D1" s="1"/>
    </row>
    <row r="2" customFormat="false" ht="18" hidden="false" customHeight="true" outlineLevel="0" collapsed="false">
      <c r="A2" s="2" t="s">
        <v>540</v>
      </c>
      <c r="B2" s="2"/>
      <c r="C2" s="2"/>
      <c r="D2" s="2"/>
    </row>
    <row r="3" customFormat="false" ht="30" hidden="false" customHeight="true" outlineLevel="0" collapsed="false">
      <c r="A3" s="3" t="s">
        <v>541</v>
      </c>
      <c r="B3" s="3" t="s">
        <v>542</v>
      </c>
      <c r="C3" s="3" t="s">
        <v>543</v>
      </c>
      <c r="D3" s="3" t="s">
        <v>544</v>
      </c>
    </row>
    <row r="4" customFormat="false" ht="33.75" hidden="false" customHeight="true" outlineLevel="0" collapsed="false">
      <c r="A4" s="4" t="s">
        <v>545</v>
      </c>
      <c r="B4" s="5" t="s">
        <v>546</v>
      </c>
      <c r="C4" s="5"/>
      <c r="D4" s="5"/>
    </row>
    <row r="5" customFormat="false" ht="33.75" hidden="false" customHeight="true" outlineLevel="0" collapsed="false">
      <c r="A5" s="6" t="s">
        <v>545</v>
      </c>
      <c r="B5" s="7" t="s">
        <v>547</v>
      </c>
      <c r="C5" s="7"/>
      <c r="D5" s="7"/>
    </row>
    <row r="6" customFormat="false" ht="33.75" hidden="false" customHeight="true" outlineLevel="0" collapsed="false">
      <c r="A6" s="4" t="s">
        <v>545</v>
      </c>
      <c r="B6" s="5" t="s">
        <v>548</v>
      </c>
      <c r="C6" s="5"/>
      <c r="D6" s="5"/>
    </row>
    <row r="7" customFormat="false" ht="33.75" hidden="false" customHeight="true" outlineLevel="0" collapsed="false">
      <c r="A7" s="6" t="s">
        <v>34</v>
      </c>
      <c r="B7" s="7" t="s">
        <v>549</v>
      </c>
      <c r="C7" s="7"/>
      <c r="D7" s="7"/>
    </row>
    <row r="8" customFormat="false" ht="33.75" hidden="false" customHeight="true" outlineLevel="0" collapsed="false">
      <c r="A8" s="4" t="s">
        <v>34</v>
      </c>
      <c r="B8" s="5" t="s">
        <v>550</v>
      </c>
      <c r="C8" s="5"/>
      <c r="D8" s="5"/>
    </row>
    <row r="9" customFormat="false" ht="33.75" hidden="false" customHeight="true" outlineLevel="0" collapsed="false">
      <c r="A9" s="6" t="s">
        <v>551</v>
      </c>
      <c r="B9" s="7" t="s">
        <v>552</v>
      </c>
      <c r="C9" s="7"/>
      <c r="D9" s="7"/>
    </row>
    <row r="10" customFormat="false" ht="33.75" hidden="false" customHeight="true" outlineLevel="0" collapsed="false">
      <c r="A10" s="4" t="s">
        <v>551</v>
      </c>
      <c r="B10" s="5" t="s">
        <v>553</v>
      </c>
      <c r="C10" s="5"/>
      <c r="D10" s="5"/>
    </row>
    <row r="11" customFormat="false" ht="33.75" hidden="false" customHeight="true" outlineLevel="0" collapsed="false">
      <c r="A11" s="6" t="s">
        <v>554</v>
      </c>
      <c r="B11" s="7" t="s">
        <v>555</v>
      </c>
      <c r="C11" s="7"/>
      <c r="D11" s="7"/>
    </row>
    <row r="12" customFormat="false" ht="33.75" hidden="false" customHeight="true" outlineLevel="0" collapsed="false">
      <c r="A12" s="4" t="s">
        <v>30</v>
      </c>
      <c r="B12" s="5" t="s">
        <v>556</v>
      </c>
      <c r="C12" s="5"/>
      <c r="D12" s="5"/>
    </row>
    <row r="13" customFormat="false" ht="33.75" hidden="false" customHeight="true" outlineLevel="0" collapsed="false">
      <c r="A13" s="6" t="s">
        <v>557</v>
      </c>
      <c r="B13" s="7" t="s">
        <v>558</v>
      </c>
      <c r="C13" s="7"/>
      <c r="D13" s="7"/>
    </row>
    <row r="14" customFormat="false" ht="33.75" hidden="false" customHeight="true" outlineLevel="0" collapsed="false">
      <c r="A14" s="4" t="s">
        <v>557</v>
      </c>
      <c r="B14" s="5" t="s">
        <v>559</v>
      </c>
      <c r="C14" s="5"/>
      <c r="D14" s="5"/>
    </row>
    <row r="15" customFormat="false" ht="33.75" hidden="false" customHeight="true" outlineLevel="0" collapsed="false">
      <c r="A15" s="6" t="s">
        <v>560</v>
      </c>
      <c r="B15" s="7" t="s">
        <v>561</v>
      </c>
      <c r="C15" s="7"/>
      <c r="D15" s="7"/>
    </row>
    <row r="16" customFormat="false" ht="33.75" hidden="false" customHeight="true" outlineLevel="0" collapsed="false">
      <c r="A16" s="4" t="s">
        <v>562</v>
      </c>
      <c r="B16" s="5" t="s">
        <v>563</v>
      </c>
      <c r="C16" s="5"/>
      <c r="D16" s="5"/>
    </row>
    <row r="17" customFormat="false" ht="33.75" hidden="false" customHeight="true" outlineLevel="0" collapsed="false">
      <c r="A17" s="6" t="s">
        <v>564</v>
      </c>
      <c r="B17" s="7" t="s">
        <v>565</v>
      </c>
      <c r="C17" s="7"/>
      <c r="D17" s="7"/>
    </row>
    <row r="18" customFormat="false" ht="33.75" hidden="false" customHeight="true" outlineLevel="0" collapsed="false">
      <c r="A18" s="4" t="s">
        <v>566</v>
      </c>
      <c r="B18" s="5" t="s">
        <v>567</v>
      </c>
      <c r="C18" s="5"/>
      <c r="D18" s="5"/>
    </row>
    <row r="19" customFormat="false" ht="33.75" hidden="false" customHeight="true" outlineLevel="0" collapsed="false">
      <c r="A19" s="6" t="s">
        <v>568</v>
      </c>
      <c r="B19" s="7" t="s">
        <v>569</v>
      </c>
      <c r="C19" s="7"/>
      <c r="D19" s="7"/>
    </row>
    <row r="20" customFormat="false" ht="33.75" hidden="false" customHeight="true" outlineLevel="0" collapsed="false">
      <c r="A20" s="4" t="s">
        <v>568</v>
      </c>
      <c r="B20" s="5" t="s">
        <v>570</v>
      </c>
      <c r="C20" s="5"/>
      <c r="D20" s="5"/>
    </row>
    <row r="21" customFormat="false" ht="33.75" hidden="false" customHeight="true" outlineLevel="0" collapsed="false">
      <c r="A21" s="6" t="s">
        <v>568</v>
      </c>
      <c r="B21" s="7" t="s">
        <v>571</v>
      </c>
      <c r="C21" s="7"/>
      <c r="D21" s="7"/>
    </row>
    <row r="22" customFormat="false" ht="33.75" hidden="false" customHeight="true" outlineLevel="0" collapsed="false">
      <c r="A22" s="4" t="s">
        <v>572</v>
      </c>
      <c r="B22" s="5" t="s">
        <v>573</v>
      </c>
      <c r="C22" s="5"/>
      <c r="D22" s="5"/>
    </row>
    <row r="23" customFormat="false" ht="33.75" hidden="false" customHeight="true" outlineLevel="0" collapsed="false">
      <c r="A23" s="6" t="s">
        <v>572</v>
      </c>
      <c r="B23" s="7" t="s">
        <v>574</v>
      </c>
      <c r="C23" s="7"/>
      <c r="D23" s="7"/>
    </row>
    <row r="24" customFormat="false" ht="33.75" hidden="false" customHeight="true" outlineLevel="0" collapsed="false">
      <c r="A24" s="4" t="s">
        <v>572</v>
      </c>
      <c r="B24" s="5" t="s">
        <v>575</v>
      </c>
      <c r="C24" s="5"/>
      <c r="D24" s="5"/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D4:D24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6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576</v>
      </c>
      <c r="B1" s="1"/>
      <c r="C1" s="1"/>
    </row>
    <row r="2" customFormat="false" ht="18" hidden="false" customHeight="true" outlineLevel="0" collapsed="false">
      <c r="A2" s="2" t="s">
        <v>577</v>
      </c>
      <c r="B2" s="2"/>
      <c r="C2" s="2"/>
    </row>
    <row r="3" customFormat="false" ht="30" hidden="false" customHeight="true" outlineLevel="0" collapsed="false">
      <c r="A3" s="3" t="s">
        <v>578</v>
      </c>
      <c r="B3" s="3" t="s">
        <v>579</v>
      </c>
      <c r="C3" s="3" t="s">
        <v>580</v>
      </c>
    </row>
    <row r="4" customFormat="false" ht="39.75" hidden="false" customHeight="true" outlineLevel="0" collapsed="false">
      <c r="A4" s="4" t="s">
        <v>581</v>
      </c>
      <c r="B4" s="5" t="s">
        <v>45</v>
      </c>
      <c r="C4" s="5" t="s">
        <v>582</v>
      </c>
    </row>
    <row r="5" customFormat="false" ht="39.75" hidden="false" customHeight="true" outlineLevel="0" collapsed="false">
      <c r="A5" s="6" t="s">
        <v>583</v>
      </c>
      <c r="B5" s="7" t="s">
        <v>63</v>
      </c>
      <c r="C5" s="7" t="s">
        <v>584</v>
      </c>
    </row>
    <row r="6" customFormat="false" ht="39.75" hidden="false" customHeight="true" outlineLevel="0" collapsed="false">
      <c r="A6" s="4" t="s">
        <v>585</v>
      </c>
      <c r="B6" s="5" t="s">
        <v>345</v>
      </c>
      <c r="C6" s="5" t="s">
        <v>586</v>
      </c>
    </row>
    <row r="7" customFormat="false" ht="39.75" hidden="false" customHeight="true" outlineLevel="0" collapsed="false">
      <c r="A7" s="6" t="s">
        <v>587</v>
      </c>
      <c r="B7" s="7" t="s">
        <v>113</v>
      </c>
      <c r="C7" s="7" t="s">
        <v>588</v>
      </c>
    </row>
    <row r="8" customFormat="false" ht="39.75" hidden="false" customHeight="true" outlineLevel="0" collapsed="false">
      <c r="A8" s="4" t="s">
        <v>589</v>
      </c>
      <c r="B8" s="5" t="s">
        <v>590</v>
      </c>
      <c r="C8" s="5" t="s">
        <v>591</v>
      </c>
    </row>
    <row r="9" customFormat="false" ht="39.75" hidden="false" customHeight="true" outlineLevel="0" collapsed="false">
      <c r="A9" s="6" t="s">
        <v>592</v>
      </c>
      <c r="B9" s="7" t="s">
        <v>593</v>
      </c>
      <c r="C9" s="7" t="s">
        <v>594</v>
      </c>
    </row>
    <row r="10" customFormat="false" ht="39.75" hidden="false" customHeight="true" outlineLevel="0" collapsed="false">
      <c r="A10" s="4" t="s">
        <v>595</v>
      </c>
      <c r="B10" s="5" t="s">
        <v>596</v>
      </c>
      <c r="C10" s="5" t="s">
        <v>597</v>
      </c>
    </row>
    <row r="11" customFormat="false" ht="39.75" hidden="false" customHeight="true" outlineLevel="0" collapsed="false">
      <c r="A11" s="6" t="s">
        <v>598</v>
      </c>
      <c r="B11" s="7" t="s">
        <v>378</v>
      </c>
      <c r="C11" s="7" t="s">
        <v>599</v>
      </c>
    </row>
    <row r="12" customFormat="false" ht="39.75" hidden="false" customHeight="true" outlineLevel="0" collapsed="false">
      <c r="A12" s="4" t="s">
        <v>600</v>
      </c>
      <c r="B12" s="5" t="s">
        <v>237</v>
      </c>
      <c r="C12" s="5" t="s">
        <v>601</v>
      </c>
    </row>
    <row r="13" customFormat="false" ht="39.75" hidden="false" customHeight="true" outlineLevel="0" collapsed="false">
      <c r="A13" s="6" t="s">
        <v>602</v>
      </c>
      <c r="B13" s="7" t="s">
        <v>385</v>
      </c>
      <c r="C13" s="7" t="s">
        <v>603</v>
      </c>
    </row>
    <row r="14" customFormat="false" ht="39.75" hidden="false" customHeight="true" outlineLevel="0" collapsed="false">
      <c r="A14" s="4" t="s">
        <v>604</v>
      </c>
      <c r="B14" s="5" t="s">
        <v>269</v>
      </c>
      <c r="C14" s="5" t="s">
        <v>605</v>
      </c>
    </row>
    <row r="15" customFormat="false" ht="39.75" hidden="false" customHeight="true" outlineLevel="0" collapsed="false">
      <c r="A15" s="6" t="s">
        <v>606</v>
      </c>
      <c r="B15" s="7" t="s">
        <v>282</v>
      </c>
      <c r="C15" s="7" t="s">
        <v>607</v>
      </c>
    </row>
    <row r="16" customFormat="false" ht="39.75" hidden="false" customHeight="true" outlineLevel="0" collapsed="false">
      <c r="A16" s="4" t="s">
        <v>608</v>
      </c>
      <c r="B16" s="5" t="s">
        <v>291</v>
      </c>
      <c r="C16" s="5" t="s">
        <v>609</v>
      </c>
    </row>
    <row r="17" customFormat="false" ht="39.75" hidden="false" customHeight="true" outlineLevel="0" collapsed="false">
      <c r="A17" s="6" t="s">
        <v>610</v>
      </c>
      <c r="B17" s="7" t="s">
        <v>304</v>
      </c>
      <c r="C17" s="7" t="s">
        <v>611</v>
      </c>
    </row>
    <row r="18" customFormat="false" ht="39.75" hidden="false" customHeight="true" outlineLevel="0" collapsed="false">
      <c r="A18" s="4" t="s">
        <v>612</v>
      </c>
      <c r="B18" s="5" t="s">
        <v>319</v>
      </c>
      <c r="C18" s="5" t="s">
        <v>613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2026-06-22T15:21:06Z</dcterms:created>
  <dc:creator>openpyxl</dc:creator>
  <dc:description/>
  <dc:language>en-US</dc:language>
  <cp:lastModifiedBy/>
  <dcterms:modified xsi:type="dcterms:W3CDTF">2026-06-22T15:21:06Z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