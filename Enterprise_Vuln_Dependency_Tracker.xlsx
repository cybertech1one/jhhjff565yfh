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Vulnerabilities" sheetId="2" state="visible" r:id="rId4"/>
    <sheet name="Dependencies" sheetId="3" state="visible" r:id="rId5"/>
    <sheet name="Projects" sheetId="4" state="visible" r:id="rId6"/>
    <sheet name="Risk Assessment" sheetId="5" state="visible" r:id="rId7"/>
    <sheet name="Remediation" sheetId="6" state="visible" r:id="rId8"/>
    <sheet name="Compliance" sheetId="7" state="visible" r:id="rId9"/>
    <sheet name="Vendor Risk" sheetId="8" state="visible" r:id="rId10"/>
    <sheet name="Config" sheetId="9" state="visible" r:id="rId11"/>
  </sheets>
  <definedNames>
    <definedName function="false" hidden="true" localSheetId="6" name="_xlnm._FilterDatabase" vbProcedure="false">Compliance!$A$3:$M$1000</definedName>
    <definedName function="false" hidden="true" localSheetId="2" name="_xlnm._FilterDatabase" vbProcedure="false">Dependencies!$A$1:$W$9</definedName>
    <definedName function="false" hidden="true" localSheetId="3" name="_xlnm._FilterDatabase" vbProcedure="false">Projects!$A$1:$V$6</definedName>
    <definedName function="false" hidden="true" localSheetId="5" name="_xlnm._FilterDatabase" vbProcedure="false">Remediation!$A$1:$P$6</definedName>
    <definedName function="false" hidden="true" localSheetId="7" name="_xlnm._FilterDatabase" vbProcedure="false">'Vendor Risk'!$A$1:$O$6</definedName>
    <definedName function="false" hidden="true" localSheetId="1" name="_xlnm._FilterDatabase" vbProcedure="false">Vulnerabilities!$A$1:$AB$6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<sst xmlns="http://schemas.openxmlformats.org/spreadsheetml/2006/main" count="823" uniqueCount="544">
  <si>
    <t xml:space="preserve">🛡️ ENTERPRISE VULNERABILITY &amp; DEPENDENCY COMMAND CENTER</t>
  </si>
  <si>
    <t xml:space="preserve">Last Updated: 2025-12-11 19:02:11 | Auto-Refresh Enabled</t>
  </si>
  <si>
    <t xml:space="preserve">📊 KEY PERFORMANCE INDICATORS</t>
  </si>
  <si>
    <t xml:space="preserve">TOTAL VULNS</t>
  </si>
  <si>
    <t xml:space="preserve">CRITICAL</t>
  </si>
  <si>
    <t xml:space="preserve">HIGH</t>
  </si>
  <si>
    <t xml:space="preserve">MEDIUM</t>
  </si>
  <si>
    <t xml:space="preserve">LOW</t>
  </si>
  <si>
    <t xml:space="preserve">OPEN</t>
  </si>
  <si>
    <t xml:space="preserve">RESOLVED</t>
  </si>
  <si>
    <t xml:space="preserve">📦 DEPENDENCY INTELLIGENCE</t>
  </si>
  <si>
    <t xml:space="preserve">TOTAL DEPS</t>
  </si>
  <si>
    <t xml:space="preserve">OUTDATED</t>
  </si>
  <si>
    <t xml:space="preserve">VULNERABLE</t>
  </si>
  <si>
    <t xml:space="preserve">UP-TO-DATE</t>
  </si>
  <si>
    <t xml:space="preserve">EOL RISK</t>
  </si>
  <si>
    <t xml:space="preserve">LICENSE RISK</t>
  </si>
  <si>
    <t xml:space="preserve">PROJECTS</t>
  </si>
  <si>
    <t xml:space="preserve">🎯 RISK POSTURE SCORE</t>
  </si>
  <si>
    <t xml:space="preserve">⏱️ VULNERABILITY AGING</t>
  </si>
  <si>
    <t xml:space="preserve">OVERALL RISK SCORE</t>
  </si>
  <si>
    <t xml:space="preserve">Age Bucket</t>
  </si>
  <si>
    <t xml:space="preserve">Count</t>
  </si>
  <si>
    <t xml:space="preserve">Critical</t>
  </si>
  <si>
    <t xml:space="preserve">High</t>
  </si>
  <si>
    <t xml:space="preserve">Medium</t>
  </si>
  <si>
    <t xml:space="preserve">Low</t>
  </si>
  <si>
    <t xml:space="preserve">MTTR (Days)</t>
  </si>
  <si>
    <t xml:space="preserve">0-7 Days</t>
  </si>
  <si>
    <t xml:space="preserve">SLA Compliance %</t>
  </si>
  <si>
    <t xml:space="preserve">8-30 Days</t>
  </si>
  <si>
    <t xml:space="preserve">31-90 Days</t>
  </si>
  <si>
    <t xml:space="preserve">90+ Days</t>
  </si>
  <si>
    <t xml:space="preserve">📈 MONTHLY TREND ANALYSIS</t>
  </si>
  <si>
    <t xml:space="preserve">Metric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</si>
  <si>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</si>
  <si>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</si>
  <si>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</si>
  <si>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</si>
  <si>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</si>
  <si>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</si>
  <si>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</si>
  <si>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</si>
  <si>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</si>
  <si>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</si>
  <si>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</si>
  <si>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</si>
  <si>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New Vulns</t>
  </si>
  <si>
    <t xml:space="preserve">Resolved</t>
  </si>
  <si>
    <t xml:space="preserve">Net Change</t>
  </si>
  <si>
    <t xml:space="preserve">Critical Open</t>
  </si>
  <si>
    <t xml:space="preserve">Vuln ID</t>
  </si>
  <si>
    <t xml:space="preserve">CVE ID</t>
  </si>
  <si>
    <t xml:space="preserve">Title</t>
  </si>
  <si>
    <t xml:space="preserve">Description</t>
  </si>
  <si>
    <t xml:space="preserve">Severity</t>
  </si>
  <si>
    <t xml:space="preserve">CVSS Score</t>
  </si>
  <si>
    <t xml:space="preserve">CVSS Vector</t>
  </si>
  <si>
    <t xml:space="preserve">Status</t>
  </si>
  <si>
    <t xml:space="preserve">Affected Asset</t>
  </si>
  <si>
    <t xml:space="preserve">Asset Type</t>
  </si>
  <si>
    <t xml:space="preserve">Business Unit</t>
  </si>
  <si>
    <t xml:space="preserve">Days Open</t>
  </si>
  <si>
    <t xml:space="preserve">SLA Met</t>
  </si>
  <si>
    <t xml:space="preserve">Discovery Date</t>
  </si>
  <si>
    <t xml:space="preserve">Due Date</t>
  </si>
  <si>
    <t xml:space="preserve">Resolved Date</t>
  </si>
  <si>
    <t xml:space="preserve">Assigned To</t>
  </si>
  <si>
    <t xml:space="preserve">Remediation Plan</t>
  </si>
  <si>
    <t xml:space="preserve">Exploitability</t>
  </si>
  <si>
    <t xml:space="preserve">Exploit Available</t>
  </si>
  <si>
    <t xml:space="preserve">Attack Vector</t>
  </si>
  <si>
    <t xml:space="preserve">CISA KEV</t>
  </si>
  <si>
    <t xml:space="preserve">EPSS Score</t>
  </si>
  <si>
    <t xml:space="preserve">Dependencies Affected</t>
  </si>
  <si>
    <t xml:space="preserve">Projects Impacted</t>
  </si>
  <si>
    <t xml:space="preserve">Risk Score</t>
  </si>
  <si>
    <t xml:space="preserve">Priority Rank</t>
  </si>
  <si>
    <t xml:space="preserve">Notes</t>
  </si>
  <si>
    <t xml:space="preserve">VULN-001</t>
  </si>
  <si>
    <t xml:space="preserve">CVE-2024-21762</t>
  </si>
  <si>
    <t xml:space="preserve">FortiOS Out-of-Bounds Write</t>
  </si>
  <si>
    <t xml:space="preserve">Remote code execution in FortiOS SSL VPN</t>
  </si>
  <si>
    <t xml:space="preserve">CVSS:3.1/AV:N/AC:L/PR:N/UI:N/S:U/C:H/I:H/A:H</t>
  </si>
  <si>
    <t xml:space="preserve">Open</t>
  </si>
  <si>
    <t xml:space="preserve">fw-prod-01.corp.local</t>
  </si>
  <si>
    <t xml:space="preserve">Firewall</t>
  </si>
  <si>
    <t xml:space="preserve">Infrastructure</t>
  </si>
  <si>
    <t xml:space="preserve">No</t>
  </si>
  <si>
    <t xml:space="preserve">2024-10-01</t>
  </si>
  <si>
    <t xml:space="preserve">2024-10-15</t>
  </si>
  <si>
    <t xml:space="preserve">John Smith</t>
  </si>
  <si>
    <t xml:space="preserve">Emergency patch scheduled</t>
  </si>
  <si>
    <t xml:space="preserve">Yes</t>
  </si>
  <si>
    <t xml:space="preserve">Network</t>
  </si>
  <si>
    <t xml:space="preserve">N/A</t>
  </si>
  <si>
    <t xml:space="preserve">ALL</t>
  </si>
  <si>
    <t xml:space="preserve">Active exploitation in wild</t>
  </si>
  <si>
    <t xml:space="preserve">VULN-002</t>
  </si>
  <si>
    <t xml:space="preserve">CVE-2024-3400</t>
  </si>
  <si>
    <t xml:space="preserve">PAN-OS Command Injection</t>
  </si>
  <si>
    <t xml:space="preserve">GlobalProtect arbitrary code execution</t>
  </si>
  <si>
    <t xml:space="preserve">CVSS:3.1/AV:N/AC:L/PR:N/UI:N/S:C/C:H/I:H/A:H</t>
  </si>
  <si>
    <t xml:space="preserve">In Progress</t>
  </si>
  <si>
    <t xml:space="preserve">pan-gw-01.corp.local</t>
  </si>
  <si>
    <t xml:space="preserve">2024-10-22</t>
  </si>
  <si>
    <t xml:space="preserve">Sarah Chen</t>
  </si>
  <si>
    <t xml:space="preserve">Hotfix deployment underway</t>
  </si>
  <si>
    <t xml:space="preserve">PROJ-001,PROJ-002</t>
  </si>
  <si>
    <t xml:space="preserve">State-sponsored exploitation</t>
  </si>
  <si>
    <t xml:space="preserve">VULN-003</t>
  </si>
  <si>
    <t xml:space="preserve">CVE-2024-27198</t>
  </si>
  <si>
    <t xml:space="preserve">TeamCity Auth Bypass</t>
  </si>
  <si>
    <t xml:space="preserve">Authentication bypass in JetBrains TeamCity</t>
  </si>
  <si>
    <t xml:space="preserve">teamcity.corp.local</t>
  </si>
  <si>
    <t xml:space="preserve">CI/CD</t>
  </si>
  <si>
    <t xml:space="preserve">DevOps</t>
  </si>
  <si>
    <t xml:space="preserve">2024-09-20</t>
  </si>
  <si>
    <t xml:space="preserve">2024-09-27</t>
  </si>
  <si>
    <t xml:space="preserve">2024-09-25</t>
  </si>
  <si>
    <t xml:space="preserve">Mike Johnson</t>
  </si>
  <si>
    <t xml:space="preserve">Patched to 2023.11.4</t>
  </si>
  <si>
    <t xml:space="preserve">PROJ-003</t>
  </si>
  <si>
    <t xml:space="preserve">Supply chain risk mitigated</t>
  </si>
  <si>
    <t xml:space="preserve">VULN-004</t>
  </si>
  <si>
    <t xml:space="preserve">CVE-2024-1709</t>
  </si>
  <si>
    <t xml:space="preserve">ConnectWise ScreenConnect Auth Bypass</t>
  </si>
  <si>
    <t xml:space="preserve">Path traversal to RCE</t>
  </si>
  <si>
    <t xml:space="preserve">rmm.corp.local</t>
  </si>
  <si>
    <t xml:space="preserve">RMM Tool</t>
  </si>
  <si>
    <t xml:space="preserve">IT Ops</t>
  </si>
  <si>
    <t xml:space="preserve">2024-11-01</t>
  </si>
  <si>
    <t xml:space="preserve">2024-11-08</t>
  </si>
  <si>
    <t xml:space="preserve">Lisa Wang</t>
  </si>
  <si>
    <t xml:space="preserve">Vendor patch pending</t>
  </si>
  <si>
    <t xml:space="preserve">PROJ-001</t>
  </si>
  <si>
    <t xml:space="preserve">Ransomware vector</t>
  </si>
  <si>
    <t xml:space="preserve">VULN-005</t>
  </si>
  <si>
    <t xml:space="preserve">CVE-2024-20353</t>
  </si>
  <si>
    <t xml:space="preserve">Cisco ASA/FTD DoS</t>
  </si>
  <si>
    <t xml:space="preserve">Denial of service via HTTPS</t>
  </si>
  <si>
    <t xml:space="preserve">CVSS:3.1/AV:N/AC:L/PR:N/UI:N/S:C/C:N/I:N/A:H</t>
  </si>
  <si>
    <t xml:space="preserve">asa-dc-01.corp.local</t>
  </si>
  <si>
    <t xml:space="preserve">2024-10-25</t>
  </si>
  <si>
    <t xml:space="preserve">Tom Brown</t>
  </si>
  <si>
    <t xml:space="preserve">Scheduled maintenance window</t>
  </si>
  <si>
    <t xml:space="preserve">PROJ-002</t>
  </si>
  <si>
    <t xml:space="preserve">Low exploit likelihood</t>
  </si>
  <si>
    <t xml:space="preserve">Dep ID</t>
  </si>
  <si>
    <t xml:space="preserve">Package Name</t>
  </si>
  <si>
    <t xml:space="preserve">Current Version</t>
  </si>
  <si>
    <t xml:space="preserve">Latest Version</t>
  </si>
  <si>
    <t xml:space="preserve">Latest Stable</t>
  </si>
  <si>
    <t xml:space="preserve">Version Gap</t>
  </si>
  <si>
    <t xml:space="preserve">Update Status</t>
  </si>
  <si>
    <t xml:space="preserve">Known Vulns</t>
  </si>
  <si>
    <t xml:space="preserve">EOL/Deprecated</t>
  </si>
  <si>
    <t xml:space="preserve">Release Date</t>
  </si>
  <si>
    <t xml:space="preserve">License</t>
  </si>
  <si>
    <t xml:space="preserve">License Risk</t>
  </si>
  <si>
    <t xml:space="preserve">Package Type</t>
  </si>
  <si>
    <t xml:space="preserve">Source Registry</t>
  </si>
  <si>
    <t xml:space="preserve">Direct/Transitive</t>
  </si>
  <si>
    <t xml:space="preserve">Used In Projects</t>
  </si>
  <si>
    <t xml:space="preserve">Usage Count</t>
  </si>
  <si>
    <t xml:space="preserve">Last Scanned</t>
  </si>
  <si>
    <t xml:space="preserve">Update Priority</t>
  </si>
  <si>
    <t xml:space="preserve">Breaking Changes</t>
  </si>
  <si>
    <t xml:space="preserve">Migration Effort</t>
  </si>
  <si>
    <t xml:space="preserve">Owner/Maintainer</t>
  </si>
  <si>
    <t xml:space="preserve">DEP-001</t>
  </si>
  <si>
    <t xml:space="preserve">lodash</t>
  </si>
  <si>
    <t xml:space="preserve">4.17.15</t>
  </si>
  <si>
    <t xml:space="preserve">4.17.21</t>
  </si>
  <si>
    <t xml:space="preserve">Outdated</t>
  </si>
  <si>
    <t xml:space="preserve">2019-07-19</t>
  </si>
  <si>
    <t xml:space="preserve">MIT</t>
  </si>
  <si>
    <t xml:space="preserve">npm</t>
  </si>
  <si>
    <t xml:space="preserve">npmjs.com</t>
  </si>
  <si>
    <t xml:space="preserve">Direct</t>
  </si>
  <si>
    <t xml:space="preserve">PROJ-001,PROJ-002,PROJ-003</t>
  </si>
  <si>
    <t xml:space="preserve">2024-11-15</t>
  </si>
  <si>
    <t xml:space="preserve">Prototype pollution vulns</t>
  </si>
  <si>
    <t xml:space="preserve">DEP-002</t>
  </si>
  <si>
    <t xml:space="preserve">log4j-core</t>
  </si>
  <si>
    <t xml:space="preserve">2.14.1</t>
  </si>
  <si>
    <t xml:space="preserve">2.23.1</t>
  </si>
  <si>
    <t xml:space="preserve">2021-03-06</t>
  </si>
  <si>
    <t xml:space="preserve">Apache-2.0</t>
  </si>
  <si>
    <t xml:space="preserve">maven</t>
  </si>
  <si>
    <t xml:space="preserve">maven-central</t>
  </si>
  <si>
    <t xml:space="preserve">PROJ-004,PROJ-005</t>
  </si>
  <si>
    <t xml:space="preserve">Apache</t>
  </si>
  <si>
    <t xml:space="preserve">Log4Shell - IMMEDIATE ACTION</t>
  </si>
  <si>
    <t xml:space="preserve">DEP-003</t>
  </si>
  <si>
    <t xml:space="preserve">spring-boot</t>
  </si>
  <si>
    <t xml:space="preserve">2.7.18</t>
  </si>
  <si>
    <t xml:space="preserve">3.2.5</t>
  </si>
  <si>
    <t xml:space="preserve">2023-11-23</t>
  </si>
  <si>
    <t xml:space="preserve">PROJ-004</t>
  </si>
  <si>
    <t xml:space="preserve">VMware</t>
  </si>
  <si>
    <t xml:space="preserve">Major version upgrade needed</t>
  </si>
  <si>
    <t xml:space="preserve">DEP-004</t>
  </si>
  <si>
    <t xml:space="preserve">moment</t>
  </si>
  <si>
    <t xml:space="preserve">2.29.4</t>
  </si>
  <si>
    <t xml:space="preserve">2.30.1</t>
  </si>
  <si>
    <t xml:space="preserve">Current</t>
  </si>
  <si>
    <t xml:space="preserve">2022-07-06</t>
  </si>
  <si>
    <t xml:space="preserve">Consider migration to dayjs</t>
  </si>
  <si>
    <t xml:space="preserve">DEP-005</t>
  </si>
  <si>
    <t xml:space="preserve">requests</t>
  </si>
  <si>
    <t xml:space="preserve">2.28.0</t>
  </si>
  <si>
    <t xml:space="preserve">2.31.0</t>
  </si>
  <si>
    <t xml:space="preserve">2022-06-09</t>
  </si>
  <si>
    <t xml:space="preserve">pypi</t>
  </si>
  <si>
    <t xml:space="preserve">pypi.org</t>
  </si>
  <si>
    <t xml:space="preserve">PROJ-006,PROJ-007</t>
  </si>
  <si>
    <t xml:space="preserve">PSF</t>
  </si>
  <si>
    <t xml:space="preserve">SSL cert verification fix needed</t>
  </si>
  <si>
    <t xml:space="preserve">DEP-006</t>
  </si>
  <si>
    <t xml:space="preserve">express</t>
  </si>
  <si>
    <t xml:space="preserve">4.18.2</t>
  </si>
  <si>
    <t xml:space="preserve">4.19.2</t>
  </si>
  <si>
    <t xml:space="preserve">2023-02-24</t>
  </si>
  <si>
    <t xml:space="preserve">PROJ-001,PROJ-002,PROJ-008</t>
  </si>
  <si>
    <t xml:space="preserve">OpenJS</t>
  </si>
  <si>
    <t xml:space="preserve">Path traversal fix</t>
  </si>
  <si>
    <t xml:space="preserve">DEP-007</t>
  </si>
  <si>
    <t xml:space="preserve">tensorflow</t>
  </si>
  <si>
    <t xml:space="preserve">2.12.0</t>
  </si>
  <si>
    <t xml:space="preserve">2.16.1</t>
  </si>
  <si>
    <t xml:space="preserve">2023-03-22</t>
  </si>
  <si>
    <t xml:space="preserve">PROJ-009</t>
  </si>
  <si>
    <t xml:space="preserve">Google</t>
  </si>
  <si>
    <t xml:space="preserve">Multiple security patches</t>
  </si>
  <si>
    <t xml:space="preserve">DEP-008</t>
  </si>
  <si>
    <t xml:space="preserve">jquery</t>
  </si>
  <si>
    <t xml:space="preserve">3.5.1</t>
  </si>
  <si>
    <t xml:space="preserve">3.7.1</t>
  </si>
  <si>
    <t xml:space="preserve">2020-05-04</t>
  </si>
  <si>
    <t xml:space="preserve">PROJ-010</t>
  </si>
  <si>
    <t xml:space="preserve">XSS vulnerabilities</t>
  </si>
  <si>
    <t xml:space="preserve">Project ID</t>
  </si>
  <si>
    <t xml:space="preserve">Project Name</t>
  </si>
  <si>
    <t xml:space="preserve">Criticality</t>
  </si>
  <si>
    <t xml:space="preserve">Environment</t>
  </si>
  <si>
    <t xml:space="preserve">Tech Stack</t>
  </si>
  <si>
    <t xml:space="preserve">Total Dependencies</t>
  </si>
  <si>
    <t xml:space="preserve">Vulnerable Deps</t>
  </si>
  <si>
    <t xml:space="preserve">Outdated Deps</t>
  </si>
  <si>
    <t xml:space="preserve">Open Vulns</t>
  </si>
  <si>
    <t xml:space="preserve">Critical Vulns</t>
  </si>
  <si>
    <t xml:space="preserve">High Vulns</t>
  </si>
  <si>
    <t xml:space="preserve">Last Scan</t>
  </si>
  <si>
    <t xml:space="preserve">Scan Frequency</t>
  </si>
  <si>
    <t xml:space="preserve">Owner</t>
  </si>
  <si>
    <t xml:space="preserve">Security Contact</t>
  </si>
  <si>
    <t xml:space="preserve">Compliance Req</t>
  </si>
  <si>
    <t xml:space="preserve">Data Classification</t>
  </si>
  <si>
    <t xml:space="preserve">Internet Facing</t>
  </si>
  <si>
    <t xml:space="preserve">Customer Portal</t>
  </si>
  <si>
    <t xml:space="preserve">Sales</t>
  </si>
  <si>
    <t xml:space="preserve">Production</t>
  </si>
  <si>
    <t xml:space="preserve">React, Node.js, PostgreSQL</t>
  </si>
  <si>
    <t xml:space="preserve">Daily</t>
  </si>
  <si>
    <t xml:space="preserve">Jane Doe</t>
  </si>
  <si>
    <t xml:space="preserve">security@corp.com</t>
  </si>
  <si>
    <t xml:space="preserve">SOC2, PCI-DSS</t>
  </si>
  <si>
    <t xml:space="preserve">Confidential</t>
  </si>
  <si>
    <t xml:space="preserve">Active</t>
  </si>
  <si>
    <t xml:space="preserve">Primary revenue application</t>
  </si>
  <si>
    <t xml:space="preserve">Internal Wiki</t>
  </si>
  <si>
    <t xml:space="preserve">IT</t>
  </si>
  <si>
    <t xml:space="preserve">Python, Django, MySQL</t>
  </si>
  <si>
    <t xml:space="preserve">2024-11-14</t>
  </si>
  <si>
    <t xml:space="preserve">Weekly</t>
  </si>
  <si>
    <t xml:space="preserve">Bob Smith</t>
  </si>
  <si>
    <t xml:space="preserve">SOC2</t>
  </si>
  <si>
    <t xml:space="preserve">Internal</t>
  </si>
  <si>
    <t xml:space="preserve">Knowledge management</t>
  </si>
  <si>
    <t xml:space="preserve">CI/CD Pipeline</t>
  </si>
  <si>
    <t xml:space="preserve">Go, Docker, Kubernetes</t>
  </si>
  <si>
    <t xml:space="preserve">Continuous</t>
  </si>
  <si>
    <t xml:space="preserve">Restricted</t>
  </si>
  <si>
    <t xml:space="preserve">Build infrastructure</t>
  </si>
  <si>
    <t xml:space="preserve">Payment Service</t>
  </si>
  <si>
    <t xml:space="preserve">Finance</t>
  </si>
  <si>
    <t xml:space="preserve">Java, Spring Boot, Oracle</t>
  </si>
  <si>
    <t xml:space="preserve">PCI-DSS, SOX</t>
  </si>
  <si>
    <t xml:space="preserve">Highly Confidential</t>
  </si>
  <si>
    <t xml:space="preserve">Payment processing</t>
  </si>
  <si>
    <t xml:space="preserve">PROJ-005</t>
  </si>
  <si>
    <t xml:space="preserve">Analytics Engine</t>
  </si>
  <si>
    <t xml:space="preserve">Data</t>
  </si>
  <si>
    <t xml:space="preserve">Python, Spark, Kafka</t>
  </si>
  <si>
    <t xml:space="preserve">GDPR</t>
  </si>
  <si>
    <t xml:space="preserve">Business intelligence</t>
  </si>
  <si>
    <t xml:space="preserve">🎯 ENTERPRISE RISK ASSESSMENT MATRIX</t>
  </si>
  <si>
    <t xml:space="preserve">Risk ID</t>
  </si>
  <si>
    <t xml:space="preserve">Risk Category</t>
  </si>
  <si>
    <t xml:space="preserve">Risk Description</t>
  </si>
  <si>
    <t xml:space="preserve">Likelihood</t>
  </si>
  <si>
    <t xml:space="preserve">Impact</t>
  </si>
  <si>
    <t xml:space="preserve">Risk Level</t>
  </si>
  <si>
    <t xml:space="preserve">Mitigation Strategy</t>
  </si>
  <si>
    <t xml:space="preserve">Target Date</t>
  </si>
  <si>
    <t xml:space="preserve">Residual Risk</t>
  </si>
  <si>
    <t xml:space="preserve">RISK-001</t>
  </si>
  <si>
    <t xml:space="preserve">Supply Chain</t>
  </si>
  <si>
    <t xml:space="preserve">Compromised dependencies in production</t>
  </si>
  <si>
    <t xml:space="preserve">SCA scanning, vendor vetting, SBOM</t>
  </si>
  <si>
    <t xml:space="preserve">CISO</t>
  </si>
  <si>
    <t xml:space="preserve">2024-12-31</t>
  </si>
  <si>
    <t xml:space="preserve">Log4Shell class events</t>
  </si>
  <si>
    <t xml:space="preserve">RISK-002</t>
  </si>
  <si>
    <t xml:space="preserve">Zero-Day</t>
  </si>
  <si>
    <t xml:space="preserve">Unpatched vulnerabilities exploitation</t>
  </si>
  <si>
    <t xml:space="preserve">WAF, IDS/IPS, threat intel feeds</t>
  </si>
  <si>
    <t xml:space="preserve">SecOps Lead</t>
  </si>
  <si>
    <t xml:space="preserve">Monitoring</t>
  </si>
  <si>
    <t xml:space="preserve">Ongoing</t>
  </si>
  <si>
    <t xml:space="preserve">Continuous monitoring required</t>
  </si>
  <si>
    <t xml:space="preserve">RISK-003</t>
  </si>
  <si>
    <t xml:space="preserve">License Compliance</t>
  </si>
  <si>
    <t xml:space="preserve">GPL violation in proprietary code</t>
  </si>
  <si>
    <t xml:space="preserve">License scanning, legal review</t>
  </si>
  <si>
    <t xml:space="preserve">Legal</t>
  </si>
  <si>
    <t xml:space="preserve">2024-11-30</t>
  </si>
  <si>
    <t xml:space="preserve">Open source audit ongoing</t>
  </si>
  <si>
    <t xml:space="preserve">RISK-004</t>
  </si>
  <si>
    <t xml:space="preserve">EOL Software</t>
  </si>
  <si>
    <t xml:space="preserve">Unsupported software in production</t>
  </si>
  <si>
    <t xml:space="preserve">Inventory tracking, upgrade planning</t>
  </si>
  <si>
    <t xml:space="preserve">2025-01-31</t>
  </si>
  <si>
    <t xml:space="preserve">Legacy system migration</t>
  </si>
  <si>
    <t xml:space="preserve">RISK-005</t>
  </si>
  <si>
    <t xml:space="preserve">Dependency Drift</t>
  </si>
  <si>
    <t xml:space="preserve">Version sprawl across projects</t>
  </si>
  <si>
    <t xml:space="preserve">Centralized dep management, automation</t>
  </si>
  <si>
    <t xml:space="preserve">2024-12-15</t>
  </si>
  <si>
    <t xml:space="preserve">Implementing Renovate</t>
  </si>
  <si>
    <t xml:space="preserve">🔥 RISK HEAT MAP</t>
  </si>
  <si>
    <t xml:space="preserve">Impact →</t>
  </si>
  <si>
    <t xml:space="preserve">Negligible</t>
  </si>
  <si>
    <t xml:space="preserve">Minor</t>
  </si>
  <si>
    <t xml:space="preserve">Moderate</t>
  </si>
  <si>
    <t xml:space="preserve">Major</t>
  </si>
  <si>
    <t xml:space="preserve">Catastrophic</t>
  </si>
  <si>
    <t xml:space="preserve">Almost Certain</t>
  </si>
  <si>
    <t xml:space="preserve">Likely</t>
  </si>
  <si>
    <t xml:space="preserve">Possible</t>
  </si>
  <si>
    <t xml:space="preserve">Unlikely</t>
  </si>
  <si>
    <t xml:space="preserve">Rare</t>
  </si>
  <si>
    <t xml:space="preserve">Task ID</t>
  </si>
  <si>
    <t xml:space="preserve">Related Vuln/Dep</t>
  </si>
  <si>
    <t xml:space="preserve">Task Description</t>
  </si>
  <si>
    <t xml:space="preserve">Priority</t>
  </si>
  <si>
    <t xml:space="preserve">Team</t>
  </si>
  <si>
    <t xml:space="preserve">Progress %</t>
  </si>
  <si>
    <t xml:space="preserve">Created Date</t>
  </si>
  <si>
    <t xml:space="preserve">Completed Date</t>
  </si>
  <si>
    <t xml:space="preserve">Blockers</t>
  </si>
  <si>
    <t xml:space="preserve">Dependencies</t>
  </si>
  <si>
    <t xml:space="preserve">Effort (Hours)</t>
  </si>
  <si>
    <t xml:space="preserve">Actual Hours</t>
  </si>
  <si>
    <t xml:space="preserve">REM-001</t>
  </si>
  <si>
    <t xml:space="preserve">Apply FortiOS emergency patch</t>
  </si>
  <si>
    <t xml:space="preserve">P1-Critical</t>
  </si>
  <si>
    <t xml:space="preserve">Change window approval</t>
  </si>
  <si>
    <t xml:space="preserve">Weekend maintenance</t>
  </si>
  <si>
    <t xml:space="preserve">REM-002</t>
  </si>
  <si>
    <t xml:space="preserve">Deploy PAN-OS hotfix</t>
  </si>
  <si>
    <t xml:space="preserve">2024-11-05</t>
  </si>
  <si>
    <t xml:space="preserve">2024-11-10</t>
  </si>
  <si>
    <t xml:space="preserve">Vendor support ticket</t>
  </si>
  <si>
    <t xml:space="preserve">Waiting vendor</t>
  </si>
  <si>
    <t xml:space="preserve">REM-003</t>
  </si>
  <si>
    <t xml:space="preserve">Upgrade Log4j to 2.23.1</t>
  </si>
  <si>
    <t xml:space="preserve">Development</t>
  </si>
  <si>
    <t xml:space="preserve">Testing environment</t>
  </si>
  <si>
    <t xml:space="preserve">REM-005</t>
  </si>
  <si>
    <t xml:space="preserve">Requires Spring upgrade</t>
  </si>
  <si>
    <t xml:space="preserve">REM-004</t>
  </si>
  <si>
    <t xml:space="preserve">Update lodash across all projects</t>
  </si>
  <si>
    <t xml:space="preserve">P2-High</t>
  </si>
  <si>
    <t xml:space="preserve">Dev Team</t>
  </si>
  <si>
    <t xml:space="preserve">Completed</t>
  </si>
  <si>
    <t xml:space="preserve">2024-10-23</t>
  </si>
  <si>
    <t xml:space="preserve">Automated via Renovate</t>
  </si>
  <si>
    <t xml:space="preserve">Spring Boot 2.x to 3.x migration</t>
  </si>
  <si>
    <t xml:space="preserve">Backend Team</t>
  </si>
  <si>
    <t xml:space="preserve">Java 17 upgrade first</t>
  </si>
  <si>
    <t xml:space="preserve">Major refactoring</t>
  </si>
  <si>
    <t xml:space="preserve">📋 COMPLIANCE FRAMEWORK MAPPING</t>
  </si>
  <si>
    <t xml:space="preserve">Control ID</t>
  </si>
  <si>
    <t xml:space="preserve">Framework</t>
  </si>
  <si>
    <t xml:space="preserve">Control Family</t>
  </si>
  <si>
    <t xml:space="preserve">Control Description</t>
  </si>
  <si>
    <t xml:space="preserve">Implementation Status</t>
  </si>
  <si>
    <t xml:space="preserve">Evidence</t>
  </si>
  <si>
    <t xml:space="preserve">Related Vulns</t>
  </si>
  <si>
    <t xml:space="preserve">Gap Analysis</t>
  </si>
  <si>
    <t xml:space="preserve">Remediation Required</t>
  </si>
  <si>
    <t xml:space="preserve">Last Assessed</t>
  </si>
  <si>
    <t xml:space="preserve">Next Review</t>
  </si>
  <si>
    <t xml:space="preserve">NIST-SI-2</t>
  </si>
  <si>
    <t xml:space="preserve">NIST CSF</t>
  </si>
  <si>
    <t xml:space="preserve">System &amp; Info Integrity</t>
  </si>
  <si>
    <t xml:space="preserve">Flaw Remediation</t>
  </si>
  <si>
    <t xml:space="preserve">Partial</t>
  </si>
  <si>
    <t xml:space="preserve">Vuln scan reports</t>
  </si>
  <si>
    <t xml:space="preserve">VULN-001,VULN-002</t>
  </si>
  <si>
    <t xml:space="preserve">SLA compliance 85%</t>
  </si>
  <si>
    <t xml:space="preserve">SecOps</t>
  </si>
  <si>
    <t xml:space="preserve">2024-12-01</t>
  </si>
  <si>
    <t xml:space="preserve">Patch management gaps</t>
  </si>
  <si>
    <t xml:space="preserve">NIST-CM-8</t>
  </si>
  <si>
    <t xml:space="preserve">Config Management</t>
  </si>
  <si>
    <t xml:space="preserve">Information System Component Inventory</t>
  </si>
  <si>
    <t xml:space="preserve">Implemented</t>
  </si>
  <si>
    <t xml:space="preserve">CMDB exports</t>
  </si>
  <si>
    <t xml:space="preserve">Fully compliant</t>
  </si>
  <si>
    <t xml:space="preserve">2025-01-15</t>
  </si>
  <si>
    <t xml:space="preserve">Automated discovery</t>
  </si>
  <si>
    <t xml:space="preserve">PCI-6.2</t>
  </si>
  <si>
    <t xml:space="preserve">PCI-DSS</t>
  </si>
  <si>
    <t xml:space="preserve">Secure Systems</t>
  </si>
  <si>
    <t xml:space="preserve">Protect from Known Vulnerabilities</t>
  </si>
  <si>
    <t xml:space="preserve">Scan evidence</t>
  </si>
  <si>
    <t xml:space="preserve">VULN-003,VULN-004</t>
  </si>
  <si>
    <t xml:space="preserve">Critical patches pending</t>
  </si>
  <si>
    <t xml:space="preserve">Compliance</t>
  </si>
  <si>
    <t xml:space="preserve">2024-11-20</t>
  </si>
  <si>
    <t xml:space="preserve">Payment scope</t>
  </si>
  <si>
    <t xml:space="preserve">SOC2-CC6.1</t>
  </si>
  <si>
    <t xml:space="preserve">Logical Access</t>
  </si>
  <si>
    <t xml:space="preserve">Security Software Implementation</t>
  </si>
  <si>
    <t xml:space="preserve">WAF logs, IDS alerts</t>
  </si>
  <si>
    <t xml:space="preserve">Meets criteria</t>
  </si>
  <si>
    <t xml:space="preserve">Security</t>
  </si>
  <si>
    <t xml:space="preserve">2025-01-01</t>
  </si>
  <si>
    <t xml:space="preserve">Annual audit passed</t>
  </si>
  <si>
    <t xml:space="preserve">CIS-2.1</t>
  </si>
  <si>
    <t xml:space="preserve">CIS Controls</t>
  </si>
  <si>
    <t xml:space="preserve">Software Inventory</t>
  </si>
  <si>
    <t xml:space="preserve">Maintain Software Inventory</t>
  </si>
  <si>
    <t xml:space="preserve">SCA tool output</t>
  </si>
  <si>
    <t xml:space="preserve">DEP-001-008</t>
  </si>
  <si>
    <t xml:space="preserve">92% coverage</t>
  </si>
  <si>
    <t xml:space="preserve">2024-12-10</t>
  </si>
  <si>
    <t xml:space="preserve">SBOM implementation</t>
  </si>
  <si>
    <t xml:space="preserve">Vendor ID</t>
  </si>
  <si>
    <t xml:space="preserve">Vendor Name</t>
  </si>
  <si>
    <t xml:space="preserve">Product/Service</t>
  </si>
  <si>
    <t xml:space="preserve">Data Access</t>
  </si>
  <si>
    <t xml:space="preserve">Security Rating</t>
  </si>
  <si>
    <t xml:space="preserve">Last Assessment</t>
  </si>
  <si>
    <t xml:space="preserve">Next Assessment</t>
  </si>
  <si>
    <t xml:space="preserve">Contract Expiry</t>
  </si>
  <si>
    <t xml:space="preserve">SLA Score</t>
  </si>
  <si>
    <t xml:space="preserve">Incident History</t>
  </si>
  <si>
    <t xml:space="preserve">Certifications</t>
  </si>
  <si>
    <t xml:space="preserve">Risk Tier</t>
  </si>
  <si>
    <t xml:space="preserve">VEN-001</t>
  </si>
  <si>
    <t xml:space="preserve">Fortinet</t>
  </si>
  <si>
    <t xml:space="preserve">FortiGate Firewall</t>
  </si>
  <si>
    <t xml:space="preserve">Network Traffic</t>
  </si>
  <si>
    <t xml:space="preserve">B+</t>
  </si>
  <si>
    <t xml:space="preserve">2024-09-15</t>
  </si>
  <si>
    <t xml:space="preserve">2025-03-15</t>
  </si>
  <si>
    <t xml:space="preserve">2025-12-31</t>
  </si>
  <si>
    <t xml:space="preserve">SOC2, ISO27001</t>
  </si>
  <si>
    <t xml:space="preserve">Tier 1</t>
  </si>
  <si>
    <t xml:space="preserve">Critical vulnerability disclosed</t>
  </si>
  <si>
    <t xml:space="preserve">VEN-002</t>
  </si>
  <si>
    <t xml:space="preserve">Palo Alto Networks</t>
  </si>
  <si>
    <t xml:space="preserve">NGFW</t>
  </si>
  <si>
    <t xml:space="preserve">A-</t>
  </si>
  <si>
    <t xml:space="preserve">2025-04-01</t>
  </si>
  <si>
    <t xml:space="preserve">2026-06-30</t>
  </si>
  <si>
    <t xml:space="preserve">SOC2, FedRAMP</t>
  </si>
  <si>
    <t xml:space="preserve">GlobalProtect CVE</t>
  </si>
  <si>
    <t xml:space="preserve">VEN-003</t>
  </si>
  <si>
    <t xml:space="preserve">JetBrains</t>
  </si>
  <si>
    <t xml:space="preserve">TeamCity</t>
  </si>
  <si>
    <t xml:space="preserve">Source Code</t>
  </si>
  <si>
    <t xml:space="preserve">B</t>
  </si>
  <si>
    <t xml:space="preserve">2024-08-01</t>
  </si>
  <si>
    <t xml:space="preserve">2025-02-01</t>
  </si>
  <si>
    <t xml:space="preserve">2025-08-31</t>
  </si>
  <si>
    <t xml:space="preserve">Tier 2</t>
  </si>
  <si>
    <t xml:space="preserve">Under Review</t>
  </si>
  <si>
    <t xml:space="preserve">Auth bypass history</t>
  </si>
  <si>
    <t xml:space="preserve">VEN-004</t>
  </si>
  <si>
    <t xml:space="preserve">Lodash (OSS)</t>
  </si>
  <si>
    <t xml:space="preserve">Utility Library</t>
  </si>
  <si>
    <t xml:space="preserve">None</t>
  </si>
  <si>
    <t xml:space="preserve">C+</t>
  </si>
  <si>
    <t xml:space="preserve">2025-05-01</t>
  </si>
  <si>
    <t xml:space="preserve">Tier 3</t>
  </si>
  <si>
    <t xml:space="preserve">Community maintained</t>
  </si>
  <si>
    <t xml:space="preserve">VEN-005</t>
  </si>
  <si>
    <t xml:space="preserve">Apache Foundation</t>
  </si>
  <si>
    <t xml:space="preserve">Log4j</t>
  </si>
  <si>
    <t xml:space="preserve">Application Logs</t>
  </si>
  <si>
    <t xml:space="preserve">A</t>
  </si>
  <si>
    <t xml:space="preserve">2025-05-15</t>
  </si>
  <si>
    <t xml:space="preserve">Log4Shell remediation complete</t>
  </si>
  <si>
    <t xml:space="preserve">⚙️ CONFIGURATION &amp; REFERENCE DATA</t>
  </si>
  <si>
    <t xml:space="preserve">Severity Levels</t>
  </si>
  <si>
    <t xml:space="preserve">Level</t>
  </si>
  <si>
    <t xml:space="preserve">CVSS Range</t>
  </si>
  <si>
    <t xml:space="preserve">SLA Target</t>
  </si>
  <si>
    <t xml:space="preserve">Color</t>
  </si>
  <si>
    <t xml:space="preserve">CVSS 9.0-10.0</t>
  </si>
  <si>
    <t xml:space="preserve">24 hours</t>
  </si>
  <si>
    <t xml:space="preserve">CVSS 7.0-8.9</t>
  </si>
  <si>
    <t xml:space="preserve">7 days</t>
  </si>
  <si>
    <t xml:space="preserve">CVSS 4.0-6.9</t>
  </si>
  <si>
    <t xml:space="preserve">30 days</t>
  </si>
  <si>
    <t xml:space="preserve">CVSS 0.1-3.9</t>
  </si>
  <si>
    <t xml:space="preserve">90 days</t>
  </si>
  <si>
    <t xml:space="preserve">Informational</t>
  </si>
  <si>
    <t xml:space="preserve">CVSS 0.0</t>
  </si>
  <si>
    <t xml:space="preserve">Best effort</t>
  </si>
  <si>
    <t xml:space="preserve">Status Values</t>
  </si>
  <si>
    <t xml:space="preserve">New vulnerability identified, awaiting triage</t>
  </si>
  <si>
    <t xml:space="preserve">Remediation actively being worked</t>
  </si>
  <si>
    <t xml:space="preserve">Vulnerability has been patched/mitigated</t>
  </si>
  <si>
    <t xml:space="preserve">Accepted</t>
  </si>
  <si>
    <t xml:space="preserve">Risk accepted with compensating controls</t>
  </si>
  <si>
    <t xml:space="preserve">Deferred</t>
  </si>
  <si>
    <t xml:space="preserve">Remediation scheduled for future date</t>
  </si>
  <si>
    <t xml:space="preserve">Priority Levels</t>
  </si>
  <si>
    <t xml:space="preserve">Response Time</t>
  </si>
  <si>
    <t xml:space="preserve">Immediate action required</t>
  </si>
  <si>
    <t xml:space="preserve">4 hours</t>
  </si>
  <si>
    <t xml:space="preserve">Address within sprint</t>
  </si>
  <si>
    <t xml:space="preserve">P3-Medium</t>
  </si>
  <si>
    <t xml:space="preserve">Schedule for next release</t>
  </si>
  <si>
    <t xml:space="preserve">1 week</t>
  </si>
  <si>
    <t xml:space="preserve">P4-Low</t>
  </si>
  <si>
    <t xml:space="preserve">Backlog item</t>
  </si>
  <si>
    <t xml:space="preserve">1 month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</si>
</sst>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9"/>
      <color rgb="FF666666"/>
      <name val="Cambria"/>
      <family val="0"/>
      <charset val="1"/>
    </font>
    <font>
      <b val="true"/>
      <sz val="24"/>
      <color rgb="FFDC143C"/>
      <name val="Cambria"/>
      <family val="0"/>
      <charset val="1"/>
    </font>
    <font>
      <b val="true"/>
      <sz val="24"/>
      <color rgb="FFFF6B35"/>
      <name val="Cambria"/>
      <family val="0"/>
      <charset val="1"/>
    </font>
    <font>
      <b val="true"/>
      <sz val="24"/>
      <color rgb="FFF7B801"/>
      <name val="Cambria"/>
      <family val="0"/>
      <charset val="1"/>
    </font>
    <font>
      <b val="true"/>
      <sz val="24"/>
      <color rgb="FF4ECDC4"/>
      <name val="Cambria"/>
      <family val="0"/>
      <charset val="1"/>
    </font>
    <font>
      <b val="true"/>
      <sz val="24"/>
      <color rgb="FFF39C12"/>
      <name val="Cambria"/>
      <family val="0"/>
      <charset val="1"/>
    </font>
    <font>
      <b val="true"/>
      <sz val="24"/>
      <color rgb="FF27AE60"/>
      <name val="Cambria"/>
      <family val="0"/>
      <charset val="1"/>
    </font>
    <font>
      <b val="true"/>
      <sz val="24"/>
      <color rgb="FF3498DB"/>
      <name val="Cambria"/>
      <family val="0"/>
      <charset val="1"/>
    </font>
    <font>
      <b val="true"/>
      <sz val="24"/>
      <color rgb="FF9B59B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8"/>
      <color rgb="FFDC143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3498DB"/>
      <name val="Cambria"/>
      <family val="0"/>
      <charset val="1"/>
    </font>
    <font>
      <b val="true"/>
      <sz val="18"/>
      <color rgb="FF27AE6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9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C3E50"/>
        <bgColor rgb="FF1E3A5F"/>
      </patternFill>
    </fill>
    <fill>
      <patternFill patternType="solid">
        <fgColor rgb="FF34495E"/>
        <bgColor rgb="FF2C3E50"/>
      </patternFill>
    </fill>
    <fill>
      <patternFill patternType="solid">
        <fgColor rgb="FFECF0F1"/>
        <bgColor rgb="FFF8F9FA"/>
      </patternFill>
    </fill>
    <fill>
      <patternFill patternType="solid">
        <fgColor rgb="FF1E3A5F"/>
        <bgColor rgb="FF2C3E50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F7B801"/>
        <bgColor rgb="FFF1C40F"/>
      </patternFill>
    </fill>
    <fill>
      <patternFill patternType="solid">
        <fgColor rgb="FFFF6B35"/>
        <bgColor rgb="FFE74C3C"/>
      </patternFill>
    </fill>
    <fill>
      <patternFill patternType="solid">
        <fgColor rgb="FFDC143C"/>
        <bgColor rgb="FFE74C3C"/>
      </patternFill>
    </fill>
    <fill>
      <patternFill patternType="solid">
        <fgColor rgb="FF4ECDC4"/>
        <bgColor rgb="FF2ECC71"/>
      </patternFill>
    </fill>
    <fill>
      <patternFill patternType="solid">
        <fgColor rgb="FF27AE60"/>
        <bgColor rgb="FF2ECC7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1E3A5F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143C"/>
          <bgColor rgb="FF000000"/>
        </patternFill>
      </fill>
    </dxf>
    <dxf>
      <fill>
        <patternFill patternType="solid">
          <fgColor rgb="FFFF6B35"/>
          <bgColor rgb="FF000000"/>
        </patternFill>
      </fill>
    </dxf>
    <dxf>
      <fill>
        <patternFill patternType="solid">
          <fgColor rgb="FF2ECC71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ill>
        <patternFill patternType="solid">
          <fgColor rgb="FFF1C40F"/>
          <bgColor rgb="FF000000"/>
        </patternFill>
      </fill>
    </dxf>
    <dxf>
      <fill>
        <patternFill>
          <bgColor rgb="FFDC143C"/>
        </patternFill>
      </fill>
    </dxf>
    <dxf>
      <fill>
        <patternFill>
          <bgColor rgb="FFFF6B35"/>
        </patternFill>
      </fill>
    </dxf>
    <dxf>
      <fill>
        <patternFill>
          <bgColor rgb="FFF7B801"/>
        </patternFill>
      </fill>
    </dxf>
    <dxf>
      <fill>
        <patternFill>
          <bgColor rgb="FF4ECDC4"/>
        </patternFill>
      </fill>
    </dxf>
    <dxf>
      <fill>
        <patternFill>
          <bgColor rgb="FFE74C3C"/>
        </patternFill>
      </fill>
    </dxf>
    <dxf>
      <fill>
        <patternFill>
          <bgColor rgb="FFF1C40F"/>
        </patternFill>
      </fill>
    </dxf>
    <dxf>
      <fill>
        <patternFill>
          <bgColor rgb="FF2ECC71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F39C12"/>
          <bgColor rgb="FF000000"/>
        </patternFill>
      </fill>
    </dxf>
    <dxf>
      <fill>
        <patternFill>
          <bgColor rgb="FFF39C12"/>
        </patternFill>
      </fill>
    </dxf>
    <dxf>
      <fill>
        <patternFill>
          <bgColor rgb="FF27AE60"/>
        </patternFill>
      </fill>
    </dxf>
    <dxf>
      <fill>
        <patternFill patternType="solid">
          <fgColor rgb="FFE12F32"/>
          <bgColor rgb="FF000000"/>
        </patternFill>
      </fill>
    </dxf>
    <dxf>
      <fill>
        <patternFill patternType="solid">
          <fgColor rgb="FFE2B70B"/>
          <bgColor rgb="FF000000"/>
        </patternFill>
      </fill>
    </dxf>
    <dxf>
      <fill>
        <patternFill patternType="solid">
          <fgColor rgb="FFE33C2D"/>
          <bgColor rgb="FF000000"/>
        </patternFill>
      </fill>
    </dxf>
    <dxf>
      <fill>
        <patternFill patternType="solid">
          <fgColor rgb="FFE5462A"/>
          <bgColor rgb="FF000000"/>
        </patternFill>
      </fill>
    </dxf>
    <dxf>
      <fill>
        <patternFill patternType="solid">
          <fgColor rgb="FFEF871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DC143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9B59B6"/>
      <rgbColor rgb="FF9999FF"/>
      <rgbColor rgb="FF993366"/>
      <rgbColor rgb="FFF8F9FA"/>
      <rgbColor rgb="FFECF0F1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ECC71"/>
      <rgbColor rgb="FFCCFFFF"/>
      <rgbColor rgb="FFCCFFCC"/>
      <rgbColor rgb="FFFFFF99"/>
      <rgbColor rgb="FF99CCFF"/>
      <rgbColor rgb="FFFF99CC"/>
      <rgbColor rgb="FFCC99FF"/>
      <rgbColor rgb="FFF7B801"/>
      <rgbColor rgb="FF3498DB"/>
      <rgbColor rgb="FF4ECDC4"/>
      <rgbColor rgb="FF99CC00"/>
      <rgbColor rgb="FFF1C40F"/>
      <rgbColor rgb="FFF39C12"/>
      <rgbColor rgb="FFFF6B35"/>
      <rgbColor rgb="FF666666"/>
      <rgbColor rgb="FF95A5A6"/>
      <rgbColor rgb="FF1E3A5F"/>
      <rgbColor rgb="FF27AE60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N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12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customFormat="false" ht="15" hidden="false" customHeight="false" outlineLevel="0" collapsed="false">
      <c r="A6" s="4" t="s">
        <v>3</v>
      </c>
      <c r="B6" s="4"/>
      <c r="C6" s="4" t="s">
        <v>4</v>
      </c>
      <c r="D6" s="4"/>
      <c r="E6" s="4" t="s">
        <v>5</v>
      </c>
      <c r="F6" s="4"/>
      <c r="G6" s="4" t="s">
        <v>6</v>
      </c>
      <c r="H6" s="4"/>
      <c r="I6" s="4" t="s">
        <v>7</v>
      </c>
      <c r="J6" s="4"/>
      <c r="K6" s="4" t="s">
        <v>8</v>
      </c>
      <c r="L6" s="4"/>
      <c r="M6" s="4" t="s">
        <v>9</v>
      </c>
      <c r="N6" s="4"/>
    </row>
    <row r="7" customFormat="false" ht="29.15" hidden="false" customHeight="false" outlineLevel="0" collapsed="false">
      <c r="A7" s="5" t="n">
        <f aca="false">COUNTA(Vulnerabilities!A:A)-1</f>
        <v>5</v>
      </c>
      <c r="B7" s="5"/>
      <c r="C7" s="5" t="n">
        <f aca="false">COUNTIF(Vulnerabilities!E:E,"Critical")</f>
        <v>4</v>
      </c>
      <c r="D7" s="5"/>
      <c r="E7" s="6" t="n">
        <f aca="false">COUNTIF(Vulnerabilities!E:E,"High")</f>
        <v>1</v>
      </c>
      <c r="F7" s="6"/>
      <c r="G7" s="7" t="n">
        <f aca="false">COUNTIF(Vulnerabilities!E:E,"Medium")</f>
        <v>0</v>
      </c>
      <c r="H7" s="7"/>
      <c r="I7" s="8" t="n">
        <f aca="false">COUNTIF(Vulnerabilities!E:E,"Low")</f>
        <v>0</v>
      </c>
      <c r="J7" s="8"/>
      <c r="K7" s="9" t="n">
        <f aca="false">COUNTIF(Vulnerabilities!H:H,"Open")</f>
        <v>3</v>
      </c>
      <c r="L7" s="9"/>
      <c r="M7" s="10" t="n">
        <f aca="false">COUNTIF(Vulnerabilities!H:H,"Resolved")</f>
        <v>1</v>
      </c>
      <c r="N7" s="10"/>
    </row>
    <row r="9" customFormat="false" ht="30" hidden="false" customHeight="true" outlineLevel="0" collapsed="false">
      <c r="A9" s="3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1" customFormat="false" ht="15" hidden="false" customHeight="false" outlineLevel="0" collapsed="false">
      <c r="A11" s="4" t="s">
        <v>11</v>
      </c>
      <c r="B11" s="4"/>
      <c r="C11" s="4" t="s">
        <v>12</v>
      </c>
      <c r="D11" s="4"/>
      <c r="E11" s="4" t="s">
        <v>13</v>
      </c>
      <c r="F11" s="4"/>
      <c r="G11" s="4" t="s">
        <v>14</v>
      </c>
      <c r="H11" s="4"/>
      <c r="I11" s="4" t="s">
        <v>15</v>
      </c>
      <c r="J11" s="4"/>
      <c r="K11" s="4" t="s">
        <v>16</v>
      </c>
      <c r="L11" s="4"/>
      <c r="M11" s="4" t="s">
        <v>17</v>
      </c>
      <c r="N11" s="4"/>
    </row>
    <row r="12" customFormat="false" ht="29.15" hidden="false" customHeight="false" outlineLevel="0" collapsed="false">
      <c r="A12" s="11" t="n">
        <f aca="false">COUNTA(Dependencies!A:A)-1</f>
        <v>8</v>
      </c>
      <c r="B12" s="11"/>
      <c r="C12" s="9" t="n">
        <f aca="false">COUNTIF(Dependencies!G:G,"Outdated")</f>
        <v>6</v>
      </c>
      <c r="D12" s="9"/>
      <c r="E12" s="5" t="n">
        <f aca="false">COUNTIF(Dependencies!H:H,"&gt;0")</f>
        <v>7</v>
      </c>
      <c r="F12" s="5"/>
      <c r="G12" s="10" t="n">
        <f aca="false">COUNTIF(Dependencies!G:G,"Current")</f>
        <v>1</v>
      </c>
      <c r="H12" s="10"/>
      <c r="I12" s="5" t="n">
        <f aca="false">COUNTIF(Dependencies!I:I,"Yes")</f>
        <v>1</v>
      </c>
      <c r="J12" s="5"/>
      <c r="K12" s="6" t="n">
        <f aca="false">COUNTIF(Dependencies!K:K,"High")</f>
        <v>0</v>
      </c>
      <c r="L12" s="6"/>
      <c r="M12" s="12" t="n">
        <f aca="false">COUNTA(Projects!A:A)-1</f>
        <v>5</v>
      </c>
      <c r="N12" s="12"/>
    </row>
    <row r="14" customFormat="false" ht="30" hidden="false" customHeight="true" outlineLevel="0" collapsed="false">
      <c r="A14" s="3" t="s">
        <v>18</v>
      </c>
      <c r="B14" s="3"/>
      <c r="C14" s="3"/>
      <c r="D14" s="3"/>
      <c r="E14" s="3"/>
      <c r="F14" s="3"/>
      <c r="G14" s="3"/>
      <c r="H14" s="3" t="s">
        <v>19</v>
      </c>
      <c r="I14" s="3"/>
      <c r="J14" s="3"/>
      <c r="K14" s="3"/>
      <c r="L14" s="3"/>
      <c r="M14" s="3"/>
      <c r="N14" s="3"/>
    </row>
    <row r="16" customFormat="false" ht="22.05" hidden="false" customHeight="false" outlineLevel="0" collapsed="false">
      <c r="A16" s="13" t="s">
        <v>20</v>
      </c>
      <c r="B16" s="14" t="n">
        <f aca="false">ROUND((COUNTIF(Vulnerabilities!E:E,"Critical")*10+COUNTIF(Vulnerabilities!E:E,"High")*7+COUNTIF(Vulnerabilities!E:E,"Medium")*4+COUNTIF(Vulnerabilities!E:E,"Low")*1)/(COUNTA(Vulnerabilities!A:A)-1+0.001)*10,1)</f>
        <v>94</v>
      </c>
      <c r="H16" s="15" t="s">
        <v>21</v>
      </c>
      <c r="I16" s="15" t="s">
        <v>22</v>
      </c>
      <c r="J16" s="15" t="s">
        <v>23</v>
      </c>
      <c r="K16" s="15" t="s">
        <v>24</v>
      </c>
      <c r="L16" s="15" t="s">
        <v>25</v>
      </c>
      <c r="M16" s="15" t="s">
        <v>26</v>
      </c>
    </row>
    <row r="17" customFormat="false" ht="22.05" hidden="false" customHeight="false" outlineLevel="0" collapsed="false">
      <c r="A17" s="13" t="s">
        <v>27</v>
      </c>
      <c r="B17" s="16" t="n">
        <f aca="false">ROUND(AVERAGEIF(Vulnerabilities!H:H,"Resolved",Vulnerabilities!L:L),1)</f>
        <v>0</v>
      </c>
      <c r="H17" s="17" t="s">
        <v>28</v>
      </c>
    </row>
    <row r="18" customFormat="false" ht="22.05" hidden="false" customHeight="false" outlineLevel="0" collapsed="false">
      <c r="A18" s="13" t="s">
        <v>29</v>
      </c>
      <c r="B18" s="18" t="str">
        <f aca="false">ROUND(COUNTIF(Vulnerabilities!M:M,"Yes")/(COUNTA(Vulnerabilities!M:M)-1+0.001)*100,1)&amp;"%"</f>
        <v>60%</v>
      </c>
      <c r="H18" s="17" t="s">
        <v>30</v>
      </c>
    </row>
    <row r="19" customFormat="false" ht="15" hidden="false" customHeight="false" outlineLevel="0" collapsed="false">
      <c r="H19" s="0" t="s">
        <v>31</v>
      </c>
    </row>
    <row r="20" customFormat="false" ht="15" hidden="false" customHeight="false" outlineLevel="0" collapsed="false">
      <c r="H20" s="0" t="s">
        <v>32</v>
      </c>
    </row>
    <row r="21" customFormat="false" ht="30" hidden="false" customHeight="true" outlineLevel="0" collapsed="false">
      <c r="A21" s="3" t="s">
        <v>33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3" customFormat="false" ht="34.5" hidden="false" customHeight="true" outlineLevel="0" collapsed="false">
      <c r="A23" s="19" t="s">
        <v>34</v>
      </c>
      <c r="B23" s="19" t="s">
        <v>35</v>
      </c>
      <c r="C23" s="19" t="s">
        <v>36</v>
      </c>
      <c r="D23" s="19" t="s">
        <v>37</v>
      </c>
      <c r="E23" s="19" t="s">
        <v>38</v>
      </c>
      <c r="F23" s="19" t="s">
        <v>39</v>
      </c>
      <c r="G23" s="19" t="s">
        <v>40</v>
      </c>
      <c r="H23" s="19" t="s">
        <v>41</v>
      </c>
      <c r="I23" s="19" t="s">
        <v>42</v>
      </c>
      <c r="J23" s="19" t="s">
        <v>43</v>
      </c>
      <c r="K23" s="19" t="s">
        <v>44</v>
      </c>
      <c r="L23" s="19" t="s">
        <v>45</v>
      </c>
      <c r="M23" s="19" t="s">
        <v>46</v>
      </c>
    </row>
    <row r="24" customFormat="false" ht="15" hidden="false" customHeight="false" outlineLevel="0" collapsed="false">
      <c r="A24" s="20" t="s">
        <v>47</v>
      </c>
      <c r="B24" s="20" t="n">
        <v>45</v>
      </c>
      <c r="C24" s="20" t="n">
        <v>42</v>
      </c>
      <c r="D24" s="20" t="n">
        <v>41</v>
      </c>
      <c r="E24" s="20" t="n">
        <v>30</v>
      </c>
      <c r="F24" s="20" t="n">
        <v>47</v>
      </c>
      <c r="G24" s="20" t="n">
        <v>29</v>
      </c>
      <c r="H24" s="20" t="n">
        <v>7</v>
      </c>
      <c r="I24" s="20" t="n">
        <v>13</v>
      </c>
      <c r="J24" s="20" t="n">
        <v>28</v>
      </c>
      <c r="K24" s="20" t="n">
        <v>42</v>
      </c>
      <c r="L24" s="20" t="n">
        <v>27</v>
      </c>
      <c r="M24" s="20" t="n">
        <v>45</v>
      </c>
    </row>
    <row r="25" customFormat="false" ht="15" hidden="false" customHeight="false" outlineLevel="0" collapsed="false">
      <c r="A25" s="21" t="s">
        <v>48</v>
      </c>
      <c r="B25" s="21" t="n">
        <v>17</v>
      </c>
      <c r="C25" s="21" t="n">
        <v>19</v>
      </c>
      <c r="D25" s="21" t="n">
        <v>42</v>
      </c>
      <c r="E25" s="21" t="n">
        <v>33</v>
      </c>
      <c r="F25" s="21" t="n">
        <v>20</v>
      </c>
      <c r="G25" s="21" t="n">
        <v>24</v>
      </c>
      <c r="H25" s="21" t="n">
        <v>31</v>
      </c>
      <c r="I25" s="21" t="n">
        <v>7</v>
      </c>
      <c r="J25" s="21" t="n">
        <v>34</v>
      </c>
      <c r="K25" s="21" t="n">
        <v>13</v>
      </c>
      <c r="L25" s="21" t="n">
        <v>5</v>
      </c>
      <c r="M25" s="21" t="n">
        <v>6</v>
      </c>
    </row>
    <row r="26" customFormat="false" ht="15" hidden="false" customHeight="false" outlineLevel="0" collapsed="false">
      <c r="A26" s="20" t="s">
        <v>49</v>
      </c>
      <c r="B26" s="20" t="n">
        <f aca="false">B24-C24</f>
        <v>3</v>
      </c>
      <c r="C26" s="20" t="n">
        <f aca="false">B24-C24</f>
        <v>3</v>
      </c>
      <c r="D26" s="20" t="n">
        <f aca="false">B24-C24</f>
        <v>3</v>
      </c>
      <c r="E26" s="20" t="n">
        <f aca="false">B24-C24</f>
        <v>3</v>
      </c>
      <c r="F26" s="20" t="n">
        <f aca="false">B24-C24</f>
        <v>3</v>
      </c>
      <c r="G26" s="20" t="n">
        <f aca="false">B24-C24</f>
        <v>3</v>
      </c>
      <c r="H26" s="20" t="n">
        <f aca="false">B24-C24</f>
        <v>3</v>
      </c>
      <c r="I26" s="20" t="n">
        <f aca="false">B24-C24</f>
        <v>3</v>
      </c>
      <c r="J26" s="20" t="n">
        <f aca="false">B24-C24</f>
        <v>3</v>
      </c>
      <c r="K26" s="20" t="n">
        <f aca="false">B24-C24</f>
        <v>3</v>
      </c>
      <c r="L26" s="20" t="n">
        <f aca="false">B24-C24</f>
        <v>3</v>
      </c>
      <c r="M26" s="20" t="n">
        <f aca="false">B24-C24</f>
        <v>3</v>
      </c>
    </row>
    <row r="27" customFormat="false" ht="15" hidden="false" customHeight="false" outlineLevel="0" collapsed="false">
      <c r="A27" s="21" t="s">
        <v>50</v>
      </c>
      <c r="B27" s="21" t="n">
        <v>10</v>
      </c>
      <c r="C27" s="21" t="n">
        <v>4</v>
      </c>
      <c r="D27" s="21" t="n">
        <v>3</v>
      </c>
      <c r="E27" s="21" t="n">
        <v>10</v>
      </c>
      <c r="F27" s="21" t="n">
        <v>10</v>
      </c>
      <c r="G27" s="21" t="n">
        <v>8</v>
      </c>
      <c r="H27" s="21" t="n">
        <v>1</v>
      </c>
      <c r="I27" s="21" t="n">
        <v>2</v>
      </c>
      <c r="J27" s="21" t="n">
        <v>9</v>
      </c>
      <c r="K27" s="21" t="n">
        <v>8</v>
      </c>
      <c r="L27" s="21" t="n">
        <v>6</v>
      </c>
      <c r="M27" s="21" t="n">
        <v>2</v>
      </c>
    </row>
  </sheetData>
  <mergeCells count="35">
    <mergeCell ref="A1:N1"/>
    <mergeCell ref="A2:N2"/>
    <mergeCell ref="A4:N4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9:N9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4:G14"/>
    <mergeCell ref="H14:N14"/>
    <mergeCell ref="A21: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143C"/>
    <pageSetUpPr fitToPage="false"/>
  </sheetPr>
  <dimension ref="A1:A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45"/>
    <col collapsed="false" customWidth="true" hidden="false" outlineLevel="0" max="8" min="8" style="0" width="12"/>
    <col collapsed="false" customWidth="true" hidden="false" outlineLevel="0" max="9" min="9" style="0" width="2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6" min="14" style="0" width="12"/>
    <col collapsed="false" customWidth="true" hidden="false" outlineLevel="0" max="17" min="17" style="0" width="15"/>
    <col collapsed="false" customWidth="true" hidden="false" outlineLevel="0" max="18" min="18" style="0" width="30"/>
    <col collapsed="false" customWidth="true" hidden="false" outlineLevel="0" max="19" min="19" style="0" width="12"/>
    <col collapsed="false" customWidth="true" hidden="false" outlineLevel="0" max="20" min="20" style="0" width="8"/>
    <col collapsed="false" customWidth="true" hidden="false" outlineLevel="0" max="21" min="21" style="0" width="12"/>
    <col collapsed="false" customWidth="true" hidden="false" outlineLevel="0" max="22" min="22" style="0" width="8"/>
    <col collapsed="false" customWidth="true" hidden="false" outlineLevel="0" max="23" min="23" style="0" width="10"/>
    <col collapsed="false" customWidth="true" hidden="false" outlineLevel="0" max="25" min="24" style="0" width="20"/>
    <col collapsed="false" customWidth="true" hidden="false" outlineLevel="0" max="27" min="26" style="0" width="10"/>
    <col collapsed="false" customWidth="true" hidden="false" outlineLevel="0" max="28" min="28" style="0" width="40"/>
  </cols>
  <sheetData>
    <row r="1" customFormat="false" ht="34.5" hidden="false" customHeight="true" outlineLevel="0" collapsed="false">
      <c r="A1" s="19" t="s">
        <v>51</v>
      </c>
      <c r="B1" s="19" t="s">
        <v>52</v>
      </c>
      <c r="C1" s="19" t="s">
        <v>53</v>
      </c>
      <c r="D1" s="19" t="s">
        <v>54</v>
      </c>
      <c r="E1" s="19" t="s">
        <v>55</v>
      </c>
      <c r="F1" s="19" t="s">
        <v>56</v>
      </c>
      <c r="G1" s="19" t="s">
        <v>57</v>
      </c>
      <c r="H1" s="19" t="s">
        <v>58</v>
      </c>
      <c r="I1" s="19" t="s">
        <v>59</v>
      </c>
      <c r="J1" s="19" t="s">
        <v>60</v>
      </c>
      <c r="K1" s="19" t="s">
        <v>61</v>
      </c>
      <c r="L1" s="19" t="s">
        <v>62</v>
      </c>
      <c r="M1" s="19" t="s">
        <v>63</v>
      </c>
      <c r="N1" s="19" t="s">
        <v>64</v>
      </c>
      <c r="O1" s="19" t="s">
        <v>65</v>
      </c>
      <c r="P1" s="19" t="s">
        <v>66</v>
      </c>
      <c r="Q1" s="19" t="s">
        <v>67</v>
      </c>
      <c r="R1" s="19" t="s">
        <v>68</v>
      </c>
      <c r="S1" s="19" t="s">
        <v>69</v>
      </c>
      <c r="T1" s="19" t="s">
        <v>70</v>
      </c>
      <c r="U1" s="19" t="s">
        <v>71</v>
      </c>
      <c r="V1" s="19" t="s">
        <v>72</v>
      </c>
      <c r="W1" s="19" t="s">
        <v>73</v>
      </c>
      <c r="X1" s="19" t="s">
        <v>74</v>
      </c>
      <c r="Y1" s="19" t="s">
        <v>75</v>
      </c>
      <c r="Z1" s="19" t="s">
        <v>76</v>
      </c>
      <c r="AA1" s="19" t="s">
        <v>77</v>
      </c>
      <c r="AB1" s="19" t="s">
        <v>78</v>
      </c>
    </row>
    <row r="2" customFormat="false" ht="15" hidden="false" customHeight="false" outlineLevel="0" collapsed="false">
      <c r="A2" s="20" t="s">
        <v>79</v>
      </c>
      <c r="B2" s="20" t="s">
        <v>80</v>
      </c>
      <c r="C2" s="20" t="s">
        <v>81</v>
      </c>
      <c r="D2" s="20" t="s">
        <v>82</v>
      </c>
      <c r="E2" s="20" t="s">
        <v>23</v>
      </c>
      <c r="F2" s="22" t="n">
        <v>9.8</v>
      </c>
      <c r="G2" s="20" t="s">
        <v>83</v>
      </c>
      <c r="H2" s="20" t="s">
        <v>84</v>
      </c>
      <c r="I2" s="20" t="s">
        <v>85</v>
      </c>
      <c r="J2" s="20" t="s">
        <v>86</v>
      </c>
      <c r="K2" s="20" t="s">
        <v>87</v>
      </c>
      <c r="L2" s="20" t="n">
        <v>45</v>
      </c>
      <c r="M2" s="20" t="s">
        <v>88</v>
      </c>
      <c r="N2" s="20" t="s">
        <v>89</v>
      </c>
      <c r="O2" s="20" t="s">
        <v>90</v>
      </c>
      <c r="P2" s="20"/>
      <c r="Q2" s="20" t="s">
        <v>91</v>
      </c>
      <c r="R2" s="20" t="s">
        <v>92</v>
      </c>
      <c r="S2" s="20" t="s">
        <v>24</v>
      </c>
      <c r="T2" s="20" t="s">
        <v>93</v>
      </c>
      <c r="U2" s="20" t="s">
        <v>94</v>
      </c>
      <c r="V2" s="20" t="s">
        <v>93</v>
      </c>
      <c r="W2" s="20" t="n">
        <v>0.97</v>
      </c>
      <c r="X2" s="20" t="s">
        <v>95</v>
      </c>
      <c r="Y2" s="20" t="s">
        <v>96</v>
      </c>
      <c r="Z2" s="20" t="n">
        <v>98</v>
      </c>
      <c r="AA2" s="20" t="n">
        <v>1</v>
      </c>
      <c r="AB2" s="20" t="s">
        <v>97</v>
      </c>
    </row>
    <row r="3" customFormat="false" ht="15" hidden="false" customHeight="false" outlineLevel="0" collapsed="false">
      <c r="A3" s="21" t="s">
        <v>98</v>
      </c>
      <c r="B3" s="21" t="s">
        <v>99</v>
      </c>
      <c r="C3" s="21" t="s">
        <v>100</v>
      </c>
      <c r="D3" s="21" t="s">
        <v>101</v>
      </c>
      <c r="E3" s="21" t="s">
        <v>23</v>
      </c>
      <c r="F3" s="23" t="n">
        <v>10</v>
      </c>
      <c r="G3" s="21" t="s">
        <v>102</v>
      </c>
      <c r="H3" s="21" t="s">
        <v>103</v>
      </c>
      <c r="I3" s="21" t="s">
        <v>104</v>
      </c>
      <c r="J3" s="21" t="s">
        <v>86</v>
      </c>
      <c r="K3" s="21" t="s">
        <v>87</v>
      </c>
      <c r="L3" s="21" t="n">
        <v>30</v>
      </c>
      <c r="M3" s="21" t="s">
        <v>88</v>
      </c>
      <c r="N3" s="21" t="s">
        <v>90</v>
      </c>
      <c r="O3" s="21" t="s">
        <v>105</v>
      </c>
      <c r="P3" s="21"/>
      <c r="Q3" s="21" t="s">
        <v>106</v>
      </c>
      <c r="R3" s="21" t="s">
        <v>107</v>
      </c>
      <c r="S3" s="21" t="s">
        <v>23</v>
      </c>
      <c r="T3" s="21" t="s">
        <v>93</v>
      </c>
      <c r="U3" s="21" t="s">
        <v>94</v>
      </c>
      <c r="V3" s="21" t="s">
        <v>93</v>
      </c>
      <c r="W3" s="21" t="n">
        <v>0.99</v>
      </c>
      <c r="X3" s="21" t="s">
        <v>95</v>
      </c>
      <c r="Y3" s="21" t="s">
        <v>108</v>
      </c>
      <c r="Z3" s="21" t="n">
        <v>100</v>
      </c>
      <c r="AA3" s="21" t="n">
        <v>2</v>
      </c>
      <c r="AB3" s="21" t="s">
        <v>109</v>
      </c>
    </row>
    <row r="4" customFormat="false" ht="15" hidden="false" customHeight="false" outlineLevel="0" collapsed="false">
      <c r="A4" s="20" t="s">
        <v>110</v>
      </c>
      <c r="B4" s="20" t="s">
        <v>111</v>
      </c>
      <c r="C4" s="20" t="s">
        <v>112</v>
      </c>
      <c r="D4" s="20" t="s">
        <v>113</v>
      </c>
      <c r="E4" s="20" t="s">
        <v>23</v>
      </c>
      <c r="F4" s="22" t="n">
        <v>9.8</v>
      </c>
      <c r="G4" s="20" t="s">
        <v>83</v>
      </c>
      <c r="H4" s="20" t="s">
        <v>48</v>
      </c>
      <c r="I4" s="20" t="s">
        <v>114</v>
      </c>
      <c r="J4" s="20" t="s">
        <v>115</v>
      </c>
      <c r="K4" s="20" t="s">
        <v>116</v>
      </c>
      <c r="L4" s="20" t="n">
        <v>0</v>
      </c>
      <c r="M4" s="20" t="s">
        <v>93</v>
      </c>
      <c r="N4" s="20" t="s">
        <v>117</v>
      </c>
      <c r="O4" s="20" t="s">
        <v>118</v>
      </c>
      <c r="P4" s="20" t="s">
        <v>119</v>
      </c>
      <c r="Q4" s="20" t="s">
        <v>120</v>
      </c>
      <c r="R4" s="20" t="s">
        <v>121</v>
      </c>
      <c r="S4" s="20" t="s">
        <v>24</v>
      </c>
      <c r="T4" s="20" t="s">
        <v>93</v>
      </c>
      <c r="U4" s="20" t="s">
        <v>94</v>
      </c>
      <c r="V4" s="20" t="s">
        <v>93</v>
      </c>
      <c r="W4" s="20" t="n">
        <v>0.94</v>
      </c>
      <c r="X4" s="20" t="s">
        <v>95</v>
      </c>
      <c r="Y4" s="20" t="s">
        <v>122</v>
      </c>
      <c r="Z4" s="20" t="n">
        <v>0</v>
      </c>
      <c r="AA4" s="20" t="n">
        <v>99</v>
      </c>
      <c r="AB4" s="20" t="s">
        <v>123</v>
      </c>
    </row>
    <row r="5" customFormat="false" ht="28.35" hidden="false" customHeight="false" outlineLevel="0" collapsed="false">
      <c r="A5" s="21" t="s">
        <v>124</v>
      </c>
      <c r="B5" s="21" t="s">
        <v>125</v>
      </c>
      <c r="C5" s="21" t="s">
        <v>126</v>
      </c>
      <c r="D5" s="21" t="s">
        <v>127</v>
      </c>
      <c r="E5" s="21" t="s">
        <v>23</v>
      </c>
      <c r="F5" s="23" t="n">
        <v>10</v>
      </c>
      <c r="G5" s="21" t="s">
        <v>102</v>
      </c>
      <c r="H5" s="21" t="s">
        <v>84</v>
      </c>
      <c r="I5" s="21" t="s">
        <v>128</v>
      </c>
      <c r="J5" s="21" t="s">
        <v>129</v>
      </c>
      <c r="K5" s="21" t="s">
        <v>130</v>
      </c>
      <c r="L5" s="21" t="n">
        <v>15</v>
      </c>
      <c r="M5" s="21" t="s">
        <v>93</v>
      </c>
      <c r="N5" s="21" t="s">
        <v>131</v>
      </c>
      <c r="O5" s="21" t="s">
        <v>132</v>
      </c>
      <c r="P5" s="21"/>
      <c r="Q5" s="21" t="s">
        <v>133</v>
      </c>
      <c r="R5" s="21" t="s">
        <v>134</v>
      </c>
      <c r="S5" s="21" t="s">
        <v>23</v>
      </c>
      <c r="T5" s="21" t="s">
        <v>93</v>
      </c>
      <c r="U5" s="21" t="s">
        <v>94</v>
      </c>
      <c r="V5" s="21" t="s">
        <v>93</v>
      </c>
      <c r="W5" s="21" t="n">
        <v>0.98</v>
      </c>
      <c r="X5" s="21" t="s">
        <v>95</v>
      </c>
      <c r="Y5" s="21" t="s">
        <v>135</v>
      </c>
      <c r="Z5" s="21" t="n">
        <v>95</v>
      </c>
      <c r="AA5" s="21" t="n">
        <v>3</v>
      </c>
      <c r="AB5" s="21" t="s">
        <v>136</v>
      </c>
    </row>
    <row r="6" customFormat="false" ht="15" hidden="false" customHeight="false" outlineLevel="0" collapsed="false">
      <c r="A6" s="20" t="s">
        <v>137</v>
      </c>
      <c r="B6" s="20" t="s">
        <v>138</v>
      </c>
      <c r="C6" s="20" t="s">
        <v>139</v>
      </c>
      <c r="D6" s="20" t="s">
        <v>140</v>
      </c>
      <c r="E6" s="20" t="s">
        <v>24</v>
      </c>
      <c r="F6" s="22" t="n">
        <v>8.6</v>
      </c>
      <c r="G6" s="20" t="s">
        <v>141</v>
      </c>
      <c r="H6" s="20" t="s">
        <v>84</v>
      </c>
      <c r="I6" s="20" t="s">
        <v>142</v>
      </c>
      <c r="J6" s="20" t="s">
        <v>86</v>
      </c>
      <c r="K6" s="20" t="s">
        <v>87</v>
      </c>
      <c r="L6" s="20" t="n">
        <v>20</v>
      </c>
      <c r="M6" s="20" t="s">
        <v>93</v>
      </c>
      <c r="N6" s="20" t="s">
        <v>143</v>
      </c>
      <c r="O6" s="20" t="s">
        <v>132</v>
      </c>
      <c r="P6" s="20"/>
      <c r="Q6" s="20" t="s">
        <v>144</v>
      </c>
      <c r="R6" s="20" t="s">
        <v>145</v>
      </c>
      <c r="S6" s="20" t="s">
        <v>25</v>
      </c>
      <c r="T6" s="20" t="s">
        <v>88</v>
      </c>
      <c r="U6" s="20" t="s">
        <v>94</v>
      </c>
      <c r="V6" s="20" t="s">
        <v>88</v>
      </c>
      <c r="W6" s="20" t="n">
        <v>0.45</v>
      </c>
      <c r="X6" s="20" t="s">
        <v>95</v>
      </c>
      <c r="Y6" s="20" t="s">
        <v>146</v>
      </c>
      <c r="Z6" s="20" t="n">
        <v>65</v>
      </c>
      <c r="AA6" s="20" t="n">
        <v>5</v>
      </c>
      <c r="AB6" s="20" t="s">
        <v>147</v>
      </c>
    </row>
  </sheetData>
  <autoFilter ref="A1:AB6"/>
  <conditionalFormatting sqref="E2:E1000">
    <cfRule type="expression" priority="2" aboveAverage="0" equalAverage="0" bottom="0" percent="0" rank="0" text="" dxfId="9">
      <formula>$E2="Critical"</formula>
    </cfRule>
    <cfRule type="expression" priority="3" aboveAverage="0" equalAverage="0" bottom="0" percent="0" rank="0" text="" dxfId="10">
      <formula>$E2="High"</formula>
    </cfRule>
    <cfRule type="expression" priority="4" aboveAverage="0" equalAverage="0" bottom="0" percent="0" rank="0" text="" dxfId="11">
      <formula>$E2="Medium"</formula>
    </cfRule>
    <cfRule type="expression" priority="5" aboveAverage="0" equalAverage="0" bottom="0" percent="0" rank="0" text="" dxfId="12">
      <formula>$E2="Low"</formula>
    </cfRule>
  </conditionalFormatting>
  <conditionalFormatting sqref="H2:H1000">
    <cfRule type="expression" priority="6" aboveAverage="0" equalAverage="0" bottom="0" percent="0" rank="0" text="" dxfId="13">
      <formula>$H2="Open"</formula>
    </cfRule>
    <cfRule type="expression" priority="7" aboveAverage="0" equalAverage="0" bottom="0" percent="0" rank="0" text="" dxfId="14">
      <formula>$H2="In Progress"</formula>
    </cfRule>
    <cfRule type="expression" priority="8" aboveAverage="0" equalAverage="0" bottom="0" percent="0" rank="0" text="" dxfId="15">
      <formula>$H2="Resolved"</formula>
    </cfRule>
  </conditionalFormatting>
  <conditionalFormatting sqref="F2:F1000">
    <cfRule type="dataBar" priority="9">
      <dataBar showValue="1" minLength="10" maxLength="90">
        <cfvo type="num" val="0"/>
        <cfvo type="num" val="10"/>
        <color rgb="FFDC143C"/>
      </dataBar>
      <extLst>
        <ext xmlns:x14="http://schemas.microsoft.com/office/spreadsheetml/2009/9/main" uri="{B025F937-C7B1-47D3-B67F-A62EFF666E3E}">
          <x14:id>{7E10AC35-DA84-4924-B8CF-16ACDC194941}</x14:id>
        </ext>
      </extLst>
    </cfRule>
  </conditionalFormatting>
  <dataValidations count="3">
    <dataValidation allowBlank="false" errorStyle="stop" operator="between" showDropDown="false" showErrorMessage="false" showInputMessage="false" sqref="E2:E1000" type="list">
      <formula1>"Critical,High,Medium,Low,Informational"</formula1>
      <formula2>0</formula2>
    </dataValidation>
    <dataValidation allowBlank="false" errorStyle="stop" operator="between" showDropDown="false" showErrorMessage="false" showInputMessage="false" sqref="H2:H1000" type="list">
      <formula1>"Open,In Progress,Resolved,Accepted,Deferred"</formula1>
      <formula2>0</formula2>
    </dataValidation>
    <dataValidation allowBlank="false" errorStyle="stop" operator="between" showDropDown="false" showErrorMessage="false" showInputMessage="false" sqref="T2:T1000" type="list">
      <formula1>"Yes,No,Unknown"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10AC35-DA84-4924-B8CF-16ACDC194941}">
            <x14:dataBar minLength="10" maxLength="90" axisPosition="none" gradient="true">
              <x14:cfvo type="num">
                <xm:f>0</xm:f>
              </x14:cfvo>
              <x14:cfvo type="num">
                <xm:f>10</xm:f>
              </x14:cfvo>
              <x14:negativeFillColor rgb="FFDC143C"/>
              <x14:axisColor rgb="FF000000"/>
            </x14:dataBar>
          </x14:cfRule>
          <xm:sqref>F2:F1000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W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5" min="3" style="0" width="15"/>
    <col collapsed="false" customWidth="true" hidden="false" outlineLevel="0" max="8" min="6" style="0" width="12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3" min="12" style="0" width="12"/>
    <col collapsed="false" customWidth="true" hidden="false" outlineLevel="0" max="15" min="14" style="0" width="15"/>
    <col collapsed="false" customWidth="true" hidden="false" outlineLevel="0" max="16" min="16" style="0" width="30"/>
    <col collapsed="false" customWidth="true" hidden="false" outlineLevel="0" max="17" min="17" style="0" width="12"/>
    <col collapsed="false" customWidth="true" hidden="false" outlineLevel="0" max="18" min="18" style="0" width="15"/>
    <col collapsed="false" customWidth="true" hidden="false" outlineLevel="0" max="19" min="19" style="0" width="12"/>
    <col collapsed="false" customWidth="true" hidden="false" outlineLevel="0" max="21" min="20" style="0" width="15"/>
    <col collapsed="false" customWidth="true" hidden="false" outlineLevel="0" max="22" min="22" style="0" width="20"/>
    <col collapsed="false" customWidth="true" hidden="false" outlineLevel="0" max="23" min="23" style="0" width="40"/>
  </cols>
  <sheetData>
    <row r="1" customFormat="false" ht="34.5" hidden="false" customHeight="true" outlineLevel="0" collapsed="false">
      <c r="A1" s="19" t="s">
        <v>148</v>
      </c>
      <c r="B1" s="19" t="s">
        <v>149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154</v>
      </c>
      <c r="H1" s="19" t="s">
        <v>155</v>
      </c>
      <c r="I1" s="19" t="s">
        <v>156</v>
      </c>
      <c r="J1" s="19" t="s">
        <v>157</v>
      </c>
      <c r="K1" s="19" t="s">
        <v>158</v>
      </c>
      <c r="L1" s="19" t="s">
        <v>159</v>
      </c>
      <c r="M1" s="19" t="s">
        <v>160</v>
      </c>
      <c r="N1" s="19" t="s">
        <v>161</v>
      </c>
      <c r="O1" s="19" t="s">
        <v>162</v>
      </c>
      <c r="P1" s="19" t="s">
        <v>163</v>
      </c>
      <c r="Q1" s="19" t="s">
        <v>164</v>
      </c>
      <c r="R1" s="19" t="s">
        <v>165</v>
      </c>
      <c r="S1" s="19" t="s">
        <v>166</v>
      </c>
      <c r="T1" s="19" t="s">
        <v>167</v>
      </c>
      <c r="U1" s="19" t="s">
        <v>168</v>
      </c>
      <c r="V1" s="19" t="s">
        <v>169</v>
      </c>
      <c r="W1" s="19" t="s">
        <v>78</v>
      </c>
    </row>
    <row r="2" customFormat="false" ht="15" hidden="false" customHeight="false" outlineLevel="0" collapsed="false">
      <c r="A2" s="20" t="s">
        <v>170</v>
      </c>
      <c r="B2" s="20" t="s">
        <v>171</v>
      </c>
      <c r="C2" s="20" t="s">
        <v>172</v>
      </c>
      <c r="D2" s="20" t="s">
        <v>173</v>
      </c>
      <c r="E2" s="20" t="s">
        <v>173</v>
      </c>
      <c r="F2" s="20" t="n">
        <v>6</v>
      </c>
      <c r="G2" s="20" t="s">
        <v>174</v>
      </c>
      <c r="H2" s="22" t="n">
        <v>3</v>
      </c>
      <c r="I2" s="20" t="s">
        <v>88</v>
      </c>
      <c r="J2" s="20" t="s">
        <v>175</v>
      </c>
      <c r="K2" s="20" t="s">
        <v>176</v>
      </c>
      <c r="L2" s="20" t="s">
        <v>26</v>
      </c>
      <c r="M2" s="20" t="s">
        <v>177</v>
      </c>
      <c r="N2" s="20" t="s">
        <v>178</v>
      </c>
      <c r="O2" s="20" t="s">
        <v>179</v>
      </c>
      <c r="P2" s="20" t="s">
        <v>180</v>
      </c>
      <c r="Q2" s="20" t="n">
        <v>15</v>
      </c>
      <c r="R2" s="20" t="s">
        <v>181</v>
      </c>
      <c r="S2" s="20" t="s">
        <v>24</v>
      </c>
      <c r="T2" s="20" t="s">
        <v>88</v>
      </c>
      <c r="U2" s="20" t="s">
        <v>26</v>
      </c>
      <c r="V2" s="20" t="s">
        <v>171</v>
      </c>
      <c r="W2" s="20" t="s">
        <v>182</v>
      </c>
    </row>
    <row r="3" customFormat="false" ht="15" hidden="false" customHeight="false" outlineLevel="0" collapsed="false">
      <c r="A3" s="21" t="s">
        <v>183</v>
      </c>
      <c r="B3" s="21" t="s">
        <v>184</v>
      </c>
      <c r="C3" s="21" t="s">
        <v>185</v>
      </c>
      <c r="D3" s="21" t="s">
        <v>186</v>
      </c>
      <c r="E3" s="21" t="s">
        <v>186</v>
      </c>
      <c r="F3" s="21" t="n">
        <v>23</v>
      </c>
      <c r="G3" s="21" t="s">
        <v>23</v>
      </c>
      <c r="H3" s="23" t="n">
        <v>5</v>
      </c>
      <c r="I3" s="21" t="s">
        <v>88</v>
      </c>
      <c r="J3" s="21" t="s">
        <v>187</v>
      </c>
      <c r="K3" s="21" t="s">
        <v>188</v>
      </c>
      <c r="L3" s="21" t="s">
        <v>26</v>
      </c>
      <c r="M3" s="21" t="s">
        <v>189</v>
      </c>
      <c r="N3" s="21" t="s">
        <v>190</v>
      </c>
      <c r="O3" s="21" t="s">
        <v>179</v>
      </c>
      <c r="P3" s="21" t="s">
        <v>191</v>
      </c>
      <c r="Q3" s="21" t="n">
        <v>8</v>
      </c>
      <c r="R3" s="21" t="s">
        <v>181</v>
      </c>
      <c r="S3" s="21" t="s">
        <v>23</v>
      </c>
      <c r="T3" s="21" t="s">
        <v>93</v>
      </c>
      <c r="U3" s="21" t="s">
        <v>24</v>
      </c>
      <c r="V3" s="21" t="s">
        <v>192</v>
      </c>
      <c r="W3" s="21" t="s">
        <v>193</v>
      </c>
    </row>
    <row r="4" customFormat="false" ht="15" hidden="false" customHeight="false" outlineLevel="0" collapsed="false">
      <c r="A4" s="20" t="s">
        <v>194</v>
      </c>
      <c r="B4" s="20" t="s">
        <v>195</v>
      </c>
      <c r="C4" s="20" t="s">
        <v>196</v>
      </c>
      <c r="D4" s="20" t="s">
        <v>197</v>
      </c>
      <c r="E4" s="20" t="s">
        <v>197</v>
      </c>
      <c r="F4" s="20" t="n">
        <v>15</v>
      </c>
      <c r="G4" s="20" t="s">
        <v>174</v>
      </c>
      <c r="H4" s="22" t="n">
        <v>2</v>
      </c>
      <c r="I4" s="20" t="s">
        <v>88</v>
      </c>
      <c r="J4" s="20" t="s">
        <v>198</v>
      </c>
      <c r="K4" s="20" t="s">
        <v>188</v>
      </c>
      <c r="L4" s="20" t="s">
        <v>26</v>
      </c>
      <c r="M4" s="20" t="s">
        <v>189</v>
      </c>
      <c r="N4" s="20" t="s">
        <v>190</v>
      </c>
      <c r="O4" s="20" t="s">
        <v>179</v>
      </c>
      <c r="P4" s="20" t="s">
        <v>199</v>
      </c>
      <c r="Q4" s="20" t="n">
        <v>5</v>
      </c>
      <c r="R4" s="20" t="s">
        <v>181</v>
      </c>
      <c r="S4" s="20" t="s">
        <v>25</v>
      </c>
      <c r="T4" s="20" t="s">
        <v>93</v>
      </c>
      <c r="U4" s="20" t="s">
        <v>24</v>
      </c>
      <c r="V4" s="20" t="s">
        <v>200</v>
      </c>
      <c r="W4" s="20" t="s">
        <v>201</v>
      </c>
    </row>
    <row r="5" customFormat="false" ht="15" hidden="false" customHeight="false" outlineLevel="0" collapsed="false">
      <c r="A5" s="21" t="s">
        <v>202</v>
      </c>
      <c r="B5" s="21" t="s">
        <v>203</v>
      </c>
      <c r="C5" s="21" t="s">
        <v>204</v>
      </c>
      <c r="D5" s="21" t="s">
        <v>205</v>
      </c>
      <c r="E5" s="21" t="s">
        <v>205</v>
      </c>
      <c r="F5" s="21" t="n">
        <v>1</v>
      </c>
      <c r="G5" s="21" t="s">
        <v>206</v>
      </c>
      <c r="H5" s="23" t="n">
        <v>0</v>
      </c>
      <c r="I5" s="21" t="s">
        <v>93</v>
      </c>
      <c r="J5" s="21" t="s">
        <v>207</v>
      </c>
      <c r="K5" s="21" t="s">
        <v>176</v>
      </c>
      <c r="L5" s="21" t="s">
        <v>26</v>
      </c>
      <c r="M5" s="21" t="s">
        <v>177</v>
      </c>
      <c r="N5" s="21" t="s">
        <v>178</v>
      </c>
      <c r="O5" s="21" t="s">
        <v>179</v>
      </c>
      <c r="P5" s="21" t="s">
        <v>108</v>
      </c>
      <c r="Q5" s="21" t="n">
        <v>12</v>
      </c>
      <c r="R5" s="21" t="s">
        <v>181</v>
      </c>
      <c r="S5" s="21" t="s">
        <v>26</v>
      </c>
      <c r="T5" s="21" t="s">
        <v>88</v>
      </c>
      <c r="U5" s="21" t="s">
        <v>25</v>
      </c>
      <c r="V5" s="21" t="s">
        <v>203</v>
      </c>
      <c r="W5" s="21" t="s">
        <v>208</v>
      </c>
    </row>
    <row r="6" customFormat="false" ht="15" hidden="false" customHeight="false" outlineLevel="0" collapsed="false">
      <c r="A6" s="20" t="s">
        <v>209</v>
      </c>
      <c r="B6" s="20" t="s">
        <v>210</v>
      </c>
      <c r="C6" s="20" t="s">
        <v>211</v>
      </c>
      <c r="D6" s="20" t="s">
        <v>212</v>
      </c>
      <c r="E6" s="20" t="s">
        <v>212</v>
      </c>
      <c r="F6" s="20" t="n">
        <v>3</v>
      </c>
      <c r="G6" s="20" t="s">
        <v>174</v>
      </c>
      <c r="H6" s="22" t="n">
        <v>1</v>
      </c>
      <c r="I6" s="20" t="s">
        <v>88</v>
      </c>
      <c r="J6" s="20" t="s">
        <v>213</v>
      </c>
      <c r="K6" s="20" t="s">
        <v>188</v>
      </c>
      <c r="L6" s="20" t="s">
        <v>26</v>
      </c>
      <c r="M6" s="20" t="s">
        <v>214</v>
      </c>
      <c r="N6" s="20" t="s">
        <v>215</v>
      </c>
      <c r="O6" s="20" t="s">
        <v>179</v>
      </c>
      <c r="P6" s="20" t="s">
        <v>216</v>
      </c>
      <c r="Q6" s="20" t="n">
        <v>20</v>
      </c>
      <c r="R6" s="20" t="s">
        <v>181</v>
      </c>
      <c r="S6" s="20" t="s">
        <v>25</v>
      </c>
      <c r="T6" s="20" t="s">
        <v>88</v>
      </c>
      <c r="U6" s="20" t="s">
        <v>26</v>
      </c>
      <c r="V6" s="20" t="s">
        <v>217</v>
      </c>
      <c r="W6" s="20" t="s">
        <v>218</v>
      </c>
    </row>
    <row r="7" customFormat="false" ht="15" hidden="false" customHeight="false" outlineLevel="0" collapsed="false">
      <c r="A7" s="21" t="s">
        <v>219</v>
      </c>
      <c r="B7" s="21" t="s">
        <v>220</v>
      </c>
      <c r="C7" s="21" t="s">
        <v>221</v>
      </c>
      <c r="D7" s="21" t="s">
        <v>222</v>
      </c>
      <c r="E7" s="21" t="s">
        <v>222</v>
      </c>
      <c r="F7" s="21" t="n">
        <v>2</v>
      </c>
      <c r="G7" s="21" t="s">
        <v>174</v>
      </c>
      <c r="H7" s="23" t="n">
        <v>1</v>
      </c>
      <c r="I7" s="21" t="s">
        <v>88</v>
      </c>
      <c r="J7" s="21" t="s">
        <v>223</v>
      </c>
      <c r="K7" s="21" t="s">
        <v>176</v>
      </c>
      <c r="L7" s="21" t="s">
        <v>26</v>
      </c>
      <c r="M7" s="21" t="s">
        <v>177</v>
      </c>
      <c r="N7" s="21" t="s">
        <v>178</v>
      </c>
      <c r="O7" s="21" t="s">
        <v>179</v>
      </c>
      <c r="P7" s="21" t="s">
        <v>224</v>
      </c>
      <c r="Q7" s="21" t="n">
        <v>25</v>
      </c>
      <c r="R7" s="21" t="s">
        <v>181</v>
      </c>
      <c r="S7" s="21" t="s">
        <v>25</v>
      </c>
      <c r="T7" s="21" t="s">
        <v>88</v>
      </c>
      <c r="U7" s="21" t="s">
        <v>26</v>
      </c>
      <c r="V7" s="21" t="s">
        <v>225</v>
      </c>
      <c r="W7" s="21" t="s">
        <v>226</v>
      </c>
    </row>
    <row r="8" customFormat="false" ht="15" hidden="false" customHeight="false" outlineLevel="0" collapsed="false">
      <c r="A8" s="20" t="s">
        <v>227</v>
      </c>
      <c r="B8" s="20" t="s">
        <v>228</v>
      </c>
      <c r="C8" s="20" t="s">
        <v>229</v>
      </c>
      <c r="D8" s="20" t="s">
        <v>230</v>
      </c>
      <c r="E8" s="20" t="s">
        <v>230</v>
      </c>
      <c r="F8" s="20" t="n">
        <v>8</v>
      </c>
      <c r="G8" s="20" t="s">
        <v>174</v>
      </c>
      <c r="H8" s="22" t="n">
        <v>4</v>
      </c>
      <c r="I8" s="20" t="s">
        <v>88</v>
      </c>
      <c r="J8" s="20" t="s">
        <v>231</v>
      </c>
      <c r="K8" s="20" t="s">
        <v>188</v>
      </c>
      <c r="L8" s="20" t="s">
        <v>26</v>
      </c>
      <c r="M8" s="20" t="s">
        <v>214</v>
      </c>
      <c r="N8" s="20" t="s">
        <v>215</v>
      </c>
      <c r="O8" s="20" t="s">
        <v>179</v>
      </c>
      <c r="P8" s="20" t="s">
        <v>232</v>
      </c>
      <c r="Q8" s="20" t="n">
        <v>3</v>
      </c>
      <c r="R8" s="20" t="s">
        <v>181</v>
      </c>
      <c r="S8" s="20" t="s">
        <v>24</v>
      </c>
      <c r="T8" s="20" t="s">
        <v>93</v>
      </c>
      <c r="U8" s="20" t="s">
        <v>24</v>
      </c>
      <c r="V8" s="20" t="s">
        <v>233</v>
      </c>
      <c r="W8" s="20" t="s">
        <v>234</v>
      </c>
    </row>
    <row r="9" customFormat="false" ht="15" hidden="false" customHeight="false" outlineLevel="0" collapsed="false">
      <c r="A9" s="21" t="s">
        <v>235</v>
      </c>
      <c r="B9" s="21" t="s">
        <v>236</v>
      </c>
      <c r="C9" s="21" t="s">
        <v>237</v>
      </c>
      <c r="D9" s="21" t="s">
        <v>238</v>
      </c>
      <c r="E9" s="21" t="s">
        <v>238</v>
      </c>
      <c r="F9" s="21" t="n">
        <v>6</v>
      </c>
      <c r="G9" s="21" t="s">
        <v>174</v>
      </c>
      <c r="H9" s="23" t="n">
        <v>2</v>
      </c>
      <c r="I9" s="21" t="s">
        <v>88</v>
      </c>
      <c r="J9" s="21" t="s">
        <v>239</v>
      </c>
      <c r="K9" s="21" t="s">
        <v>176</v>
      </c>
      <c r="L9" s="21" t="s">
        <v>26</v>
      </c>
      <c r="M9" s="21" t="s">
        <v>177</v>
      </c>
      <c r="N9" s="21" t="s">
        <v>178</v>
      </c>
      <c r="O9" s="21" t="s">
        <v>179</v>
      </c>
      <c r="P9" s="21" t="s">
        <v>240</v>
      </c>
      <c r="Q9" s="21" t="n">
        <v>8</v>
      </c>
      <c r="R9" s="21" t="s">
        <v>181</v>
      </c>
      <c r="S9" s="21" t="s">
        <v>25</v>
      </c>
      <c r="T9" s="21" t="s">
        <v>88</v>
      </c>
      <c r="U9" s="21" t="s">
        <v>26</v>
      </c>
      <c r="V9" s="21" t="s">
        <v>225</v>
      </c>
      <c r="W9" s="21" t="s">
        <v>241</v>
      </c>
    </row>
  </sheetData>
  <autoFilter ref="A1:W9"/>
  <conditionalFormatting sqref="G2:G1000">
    <cfRule type="expression" priority="2" aboveAverage="0" equalAverage="0" bottom="0" percent="0" rank="0" text="" dxfId="9">
      <formula>$G2="Critical"</formula>
    </cfRule>
    <cfRule type="expression" priority="3" aboveAverage="0" equalAverage="0" bottom="0" percent="0" rank="0" text="" dxfId="18">
      <formula>$G2="Outdated"</formula>
    </cfRule>
    <cfRule type="expression" priority="4" aboveAverage="0" equalAverage="0" bottom="0" percent="0" rank="0" text="" dxfId="19">
      <formula>$G2="Current"</formula>
    </cfRule>
  </conditionalFormatting>
  <conditionalFormatting sqref="I2:I1000">
    <cfRule type="expression" priority="5" aboveAverage="0" equalAverage="0" bottom="0" percent="0" rank="0" text="" dxfId="9">
      <formula>$I2="Yes"</formula>
    </cfRule>
  </conditionalFormatting>
  <conditionalFormatting sqref="H2:H1000">
    <cfRule type="dataBar" priority="6">
      <dataBar showValue="1" minLength="10" maxLength="90">
        <cfvo type="num" val="0"/>
        <cfvo type="num" val="10"/>
        <color rgb="FFDC143C"/>
      </dataBar>
      <extLst>
        <ext xmlns:x14="http://schemas.microsoft.com/office/spreadsheetml/2009/9/main" uri="{B025F937-C7B1-47D3-B67F-A62EFF666E3E}">
          <x14:id>{F78630CA-CB71-46C2-AC80-347885455C25}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8630CA-CB71-46C2-AC80-347885455C25}">
            <x14:dataBar minLength="10" maxLength="90" axisPosition="none" gradient="true">
              <x14:cfvo type="num">
                <xm:f>0</xm:f>
              </x14:cfvo>
              <x14:cfvo type="num">
                <xm:f>10</xm:f>
              </x14:cfvo>
              <x14:negativeFillColor rgb="FFDC143C"/>
              <x14:axisColor rgb="FF000000"/>
            </x14:dataBar>
          </x14:cfRule>
          <xm:sqref>H2:H1000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V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6" min="6" style="0" width="30"/>
    <col collapsed="false" customWidth="true" hidden="false" outlineLevel="0" max="9" min="7" style="0" width="15"/>
    <col collapsed="false" customWidth="true" hidden="false" outlineLevel="0" max="13" min="10" style="0" width="12"/>
    <col collapsed="false" customWidth="true" hidden="false" outlineLevel="0" max="16" min="14" style="0" width="15"/>
    <col collapsed="false" customWidth="true" hidden="false" outlineLevel="0" max="18" min="17" style="0" width="20"/>
    <col collapsed="false" customWidth="true" hidden="false" outlineLevel="0" max="19" min="19" style="0" width="18"/>
    <col collapsed="false" customWidth="true" hidden="false" outlineLevel="0" max="20" min="20" style="0" width="15"/>
    <col collapsed="false" customWidth="true" hidden="false" outlineLevel="0" max="21" min="21" style="0" width="10"/>
    <col collapsed="false" customWidth="true" hidden="false" outlineLevel="0" max="22" min="22" style="0" width="40"/>
  </cols>
  <sheetData>
    <row r="1" customFormat="false" ht="34.5" hidden="false" customHeight="true" outlineLevel="0" collapsed="false">
      <c r="A1" s="19" t="s">
        <v>242</v>
      </c>
      <c r="B1" s="19" t="s">
        <v>243</v>
      </c>
      <c r="C1" s="19" t="s">
        <v>61</v>
      </c>
      <c r="D1" s="19" t="s">
        <v>244</v>
      </c>
      <c r="E1" s="19" t="s">
        <v>245</v>
      </c>
      <c r="F1" s="19" t="s">
        <v>246</v>
      </c>
      <c r="G1" s="19" t="s">
        <v>247</v>
      </c>
      <c r="H1" s="19" t="s">
        <v>248</v>
      </c>
      <c r="I1" s="19" t="s">
        <v>249</v>
      </c>
      <c r="J1" s="19" t="s">
        <v>250</v>
      </c>
      <c r="K1" s="19" t="s">
        <v>251</v>
      </c>
      <c r="L1" s="19" t="s">
        <v>252</v>
      </c>
      <c r="M1" s="19" t="s">
        <v>76</v>
      </c>
      <c r="N1" s="19" t="s">
        <v>253</v>
      </c>
      <c r="O1" s="19" t="s">
        <v>254</v>
      </c>
      <c r="P1" s="19" t="s">
        <v>255</v>
      </c>
      <c r="Q1" s="19" t="s">
        <v>256</v>
      </c>
      <c r="R1" s="19" t="s">
        <v>257</v>
      </c>
      <c r="S1" s="19" t="s">
        <v>258</v>
      </c>
      <c r="T1" s="19" t="s">
        <v>259</v>
      </c>
      <c r="U1" s="19" t="s">
        <v>58</v>
      </c>
      <c r="V1" s="19" t="s">
        <v>78</v>
      </c>
    </row>
    <row r="2" customFormat="false" ht="15" hidden="false" customHeight="false" outlineLevel="0" collapsed="false">
      <c r="A2" s="20" t="s">
        <v>135</v>
      </c>
      <c r="B2" s="20" t="s">
        <v>260</v>
      </c>
      <c r="C2" s="20" t="s">
        <v>261</v>
      </c>
      <c r="D2" s="20" t="s">
        <v>23</v>
      </c>
      <c r="E2" s="20" t="s">
        <v>262</v>
      </c>
      <c r="F2" s="20" t="s">
        <v>263</v>
      </c>
      <c r="G2" s="20" t="n">
        <v>45</v>
      </c>
      <c r="H2" s="20" t="n">
        <v>5</v>
      </c>
      <c r="I2" s="20" t="n">
        <v>12</v>
      </c>
      <c r="J2" s="20" t="n">
        <v>8</v>
      </c>
      <c r="K2" s="20" t="n">
        <v>2</v>
      </c>
      <c r="L2" s="20" t="n">
        <v>3</v>
      </c>
      <c r="M2" s="20" t="n">
        <v>85</v>
      </c>
      <c r="N2" s="20" t="s">
        <v>181</v>
      </c>
      <c r="O2" s="20" t="s">
        <v>264</v>
      </c>
      <c r="P2" s="20" t="s">
        <v>265</v>
      </c>
      <c r="Q2" s="20" t="s">
        <v>266</v>
      </c>
      <c r="R2" s="20" t="s">
        <v>267</v>
      </c>
      <c r="S2" s="20" t="s">
        <v>268</v>
      </c>
      <c r="T2" s="20" t="s">
        <v>93</v>
      </c>
      <c r="U2" s="20" t="s">
        <v>269</v>
      </c>
      <c r="V2" s="20" t="s">
        <v>270</v>
      </c>
    </row>
    <row r="3" customFormat="false" ht="15" hidden="false" customHeight="false" outlineLevel="0" collapsed="false">
      <c r="A3" s="21" t="s">
        <v>146</v>
      </c>
      <c r="B3" s="21" t="s">
        <v>271</v>
      </c>
      <c r="C3" s="21" t="s">
        <v>272</v>
      </c>
      <c r="D3" s="21" t="s">
        <v>25</v>
      </c>
      <c r="E3" s="21" t="s">
        <v>262</v>
      </c>
      <c r="F3" s="21" t="s">
        <v>273</v>
      </c>
      <c r="G3" s="21" t="n">
        <v>28</v>
      </c>
      <c r="H3" s="21" t="n">
        <v>2</v>
      </c>
      <c r="I3" s="21" t="n">
        <v>5</v>
      </c>
      <c r="J3" s="21" t="n">
        <v>3</v>
      </c>
      <c r="K3" s="21" t="n">
        <v>0</v>
      </c>
      <c r="L3" s="21" t="n">
        <v>1</v>
      </c>
      <c r="M3" s="21" t="n">
        <v>45</v>
      </c>
      <c r="N3" s="21" t="s">
        <v>274</v>
      </c>
      <c r="O3" s="21" t="s">
        <v>275</v>
      </c>
      <c r="P3" s="21" t="s">
        <v>276</v>
      </c>
      <c r="Q3" s="21" t="s">
        <v>266</v>
      </c>
      <c r="R3" s="21" t="s">
        <v>277</v>
      </c>
      <c r="S3" s="21" t="s">
        <v>278</v>
      </c>
      <c r="T3" s="21" t="s">
        <v>88</v>
      </c>
      <c r="U3" s="21" t="s">
        <v>269</v>
      </c>
      <c r="V3" s="21" t="s">
        <v>279</v>
      </c>
    </row>
    <row r="4" customFormat="false" ht="15" hidden="false" customHeight="false" outlineLevel="0" collapsed="false">
      <c r="A4" s="20" t="s">
        <v>122</v>
      </c>
      <c r="B4" s="20" t="s">
        <v>280</v>
      </c>
      <c r="C4" s="20" t="s">
        <v>116</v>
      </c>
      <c r="D4" s="20" t="s">
        <v>23</v>
      </c>
      <c r="E4" s="20" t="s">
        <v>262</v>
      </c>
      <c r="F4" s="20" t="s">
        <v>281</v>
      </c>
      <c r="G4" s="20" t="n">
        <v>67</v>
      </c>
      <c r="H4" s="20" t="n">
        <v>8</v>
      </c>
      <c r="I4" s="20" t="n">
        <v>15</v>
      </c>
      <c r="J4" s="20" t="n">
        <v>12</v>
      </c>
      <c r="K4" s="20" t="n">
        <v>3</v>
      </c>
      <c r="L4" s="20" t="n">
        <v>5</v>
      </c>
      <c r="M4" s="20" t="n">
        <v>92</v>
      </c>
      <c r="N4" s="20" t="s">
        <v>181</v>
      </c>
      <c r="O4" s="20" t="s">
        <v>282</v>
      </c>
      <c r="P4" s="20" t="s">
        <v>106</v>
      </c>
      <c r="Q4" s="20" t="s">
        <v>266</v>
      </c>
      <c r="R4" s="20" t="s">
        <v>277</v>
      </c>
      <c r="S4" s="20" t="s">
        <v>283</v>
      </c>
      <c r="T4" s="20" t="s">
        <v>88</v>
      </c>
      <c r="U4" s="20" t="s">
        <v>269</v>
      </c>
      <c r="V4" s="20" t="s">
        <v>284</v>
      </c>
    </row>
    <row r="5" customFormat="false" ht="15" hidden="false" customHeight="false" outlineLevel="0" collapsed="false">
      <c r="A5" s="21" t="s">
        <v>199</v>
      </c>
      <c r="B5" s="21" t="s">
        <v>285</v>
      </c>
      <c r="C5" s="21" t="s">
        <v>286</v>
      </c>
      <c r="D5" s="21" t="s">
        <v>23</v>
      </c>
      <c r="E5" s="21" t="s">
        <v>262</v>
      </c>
      <c r="F5" s="21" t="s">
        <v>287</v>
      </c>
      <c r="G5" s="21" t="n">
        <v>52</v>
      </c>
      <c r="H5" s="21" t="n">
        <v>7</v>
      </c>
      <c r="I5" s="21" t="n">
        <v>10</v>
      </c>
      <c r="J5" s="21" t="n">
        <v>9</v>
      </c>
      <c r="K5" s="21" t="n">
        <v>2</v>
      </c>
      <c r="L5" s="21" t="n">
        <v>4</v>
      </c>
      <c r="M5" s="21" t="n">
        <v>88</v>
      </c>
      <c r="N5" s="21" t="s">
        <v>181</v>
      </c>
      <c r="O5" s="21" t="s">
        <v>264</v>
      </c>
      <c r="P5" s="21" t="s">
        <v>120</v>
      </c>
      <c r="Q5" s="21" t="s">
        <v>266</v>
      </c>
      <c r="R5" s="21" t="s">
        <v>288</v>
      </c>
      <c r="S5" s="21" t="s">
        <v>289</v>
      </c>
      <c r="T5" s="21" t="s">
        <v>93</v>
      </c>
      <c r="U5" s="21" t="s">
        <v>269</v>
      </c>
      <c r="V5" s="21" t="s">
        <v>290</v>
      </c>
    </row>
    <row r="6" customFormat="false" ht="15" hidden="false" customHeight="false" outlineLevel="0" collapsed="false">
      <c r="A6" s="20" t="s">
        <v>291</v>
      </c>
      <c r="B6" s="20" t="s">
        <v>292</v>
      </c>
      <c r="C6" s="20" t="s">
        <v>293</v>
      </c>
      <c r="D6" s="20" t="s">
        <v>24</v>
      </c>
      <c r="E6" s="20" t="s">
        <v>262</v>
      </c>
      <c r="F6" s="20" t="s">
        <v>294</v>
      </c>
      <c r="G6" s="20" t="n">
        <v>89</v>
      </c>
      <c r="H6" s="20" t="n">
        <v>4</v>
      </c>
      <c r="I6" s="20" t="n">
        <v>20</v>
      </c>
      <c r="J6" s="20" t="n">
        <v>6</v>
      </c>
      <c r="K6" s="20" t="n">
        <v>1</v>
      </c>
      <c r="L6" s="20" t="n">
        <v>2</v>
      </c>
      <c r="M6" s="20" t="n">
        <v>65</v>
      </c>
      <c r="N6" s="20" t="s">
        <v>274</v>
      </c>
      <c r="O6" s="20" t="s">
        <v>264</v>
      </c>
      <c r="P6" s="20" t="s">
        <v>133</v>
      </c>
      <c r="Q6" s="20" t="s">
        <v>266</v>
      </c>
      <c r="R6" s="20" t="s">
        <v>295</v>
      </c>
      <c r="S6" s="20" t="s">
        <v>268</v>
      </c>
      <c r="T6" s="20" t="s">
        <v>88</v>
      </c>
      <c r="U6" s="20" t="s">
        <v>269</v>
      </c>
      <c r="V6" s="20" t="s">
        <v>296</v>
      </c>
    </row>
  </sheetData>
  <autoFilter ref="A1:V6"/>
  <conditionalFormatting sqref="M2:M1000">
    <cfRule type="colorScale" priority="2">
      <colorScale>
        <cfvo type="num" val="0"/>
        <cfvo type="num" val="50"/>
        <cfvo type="num" val="100"/>
        <color rgb="FF27AE60"/>
        <color rgb="FFF7B801"/>
        <color rgb="FFDC143C"/>
      </colorScale>
    </cfRule>
  </conditionalFormatting>
  <conditionalFormatting sqref="D2:D1000">
    <cfRule type="expression" priority="3" aboveAverage="0" equalAverage="0" bottom="0" percent="0" rank="0" text="" dxfId="9">
      <formula>$D2="Critical"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35"/>
    <col collapsed="false" customWidth="true" hidden="false" outlineLevel="0" max="9" min="9" style="0" width="15"/>
    <col collapsed="false" customWidth="true" hidden="false" outlineLevel="0" max="12" min="10" style="0" width="12"/>
    <col collapsed="false" customWidth="true" hidden="false" outlineLevel="0" max="13" min="13" style="0" width="40"/>
  </cols>
  <sheetData>
    <row r="1" customFormat="false" ht="30" hidden="false" customHeight="true" outlineLevel="0" collapsed="false">
      <c r="A1" s="3" t="s">
        <v>297</v>
      </c>
      <c r="B1" s="3"/>
      <c r="C1" s="3"/>
      <c r="D1" s="3"/>
      <c r="E1" s="3"/>
      <c r="F1" s="3"/>
      <c r="G1" s="3"/>
      <c r="H1" s="3"/>
    </row>
    <row r="3" customFormat="false" ht="34.5" hidden="false" customHeight="true" outlineLevel="0" collapsed="false">
      <c r="A3" s="19" t="s">
        <v>298</v>
      </c>
      <c r="B3" s="19" t="s">
        <v>299</v>
      </c>
      <c r="C3" s="19" t="s">
        <v>300</v>
      </c>
      <c r="D3" s="19" t="s">
        <v>301</v>
      </c>
      <c r="E3" s="19" t="s">
        <v>302</v>
      </c>
      <c r="F3" s="19" t="s">
        <v>76</v>
      </c>
      <c r="G3" s="19" t="s">
        <v>303</v>
      </c>
      <c r="H3" s="19" t="s">
        <v>304</v>
      </c>
      <c r="I3" s="19" t="s">
        <v>255</v>
      </c>
      <c r="J3" s="19" t="s">
        <v>58</v>
      </c>
      <c r="K3" s="19" t="s">
        <v>305</v>
      </c>
      <c r="L3" s="19" t="s">
        <v>306</v>
      </c>
      <c r="M3" s="19" t="s">
        <v>78</v>
      </c>
    </row>
    <row r="4" customFormat="false" ht="15" hidden="false" customHeight="false" outlineLevel="0" collapsed="false">
      <c r="A4" s="20" t="s">
        <v>307</v>
      </c>
      <c r="B4" s="20" t="s">
        <v>308</v>
      </c>
      <c r="C4" s="20" t="s">
        <v>309</v>
      </c>
      <c r="D4" s="20" t="n">
        <v>4</v>
      </c>
      <c r="E4" s="20" t="n">
        <v>5</v>
      </c>
      <c r="F4" s="20" t="n">
        <f aca="false">D4*E4</f>
        <v>20</v>
      </c>
      <c r="G4" s="20" t="s">
        <v>23</v>
      </c>
      <c r="H4" s="20" t="s">
        <v>310</v>
      </c>
      <c r="I4" s="20" t="s">
        <v>311</v>
      </c>
      <c r="J4" s="20" t="s">
        <v>84</v>
      </c>
      <c r="K4" s="20" t="s">
        <v>312</v>
      </c>
      <c r="L4" s="20" t="n">
        <v>8</v>
      </c>
      <c r="M4" s="20" t="s">
        <v>313</v>
      </c>
    </row>
    <row r="5" customFormat="false" ht="15" hidden="false" customHeight="false" outlineLevel="0" collapsed="false">
      <c r="A5" s="21" t="s">
        <v>314</v>
      </c>
      <c r="B5" s="21" t="s">
        <v>315</v>
      </c>
      <c r="C5" s="21" t="s">
        <v>316</v>
      </c>
      <c r="D5" s="21" t="n">
        <v>3</v>
      </c>
      <c r="E5" s="21" t="n">
        <v>5</v>
      </c>
      <c r="F5" s="21" t="n">
        <f aca="false">D5*E5</f>
        <v>15</v>
      </c>
      <c r="G5" s="21" t="s">
        <v>24</v>
      </c>
      <c r="H5" s="21" t="s">
        <v>317</v>
      </c>
      <c r="I5" s="21" t="s">
        <v>318</v>
      </c>
      <c r="J5" s="21" t="s">
        <v>319</v>
      </c>
      <c r="K5" s="21" t="s">
        <v>320</v>
      </c>
      <c r="L5" s="21" t="n">
        <v>10</v>
      </c>
      <c r="M5" s="21" t="s">
        <v>321</v>
      </c>
    </row>
    <row r="6" customFormat="false" ht="28.35" hidden="false" customHeight="false" outlineLevel="0" collapsed="false">
      <c r="A6" s="20" t="s">
        <v>322</v>
      </c>
      <c r="B6" s="20" t="s">
        <v>323</v>
      </c>
      <c r="C6" s="20" t="s">
        <v>324</v>
      </c>
      <c r="D6" s="20" t="n">
        <v>2</v>
      </c>
      <c r="E6" s="20" t="n">
        <v>4</v>
      </c>
      <c r="F6" s="20" t="n">
        <f aca="false">D6*E6</f>
        <v>8</v>
      </c>
      <c r="G6" s="20" t="s">
        <v>25</v>
      </c>
      <c r="H6" s="20" t="s">
        <v>325</v>
      </c>
      <c r="I6" s="20" t="s">
        <v>326</v>
      </c>
      <c r="J6" s="20" t="s">
        <v>103</v>
      </c>
      <c r="K6" s="20" t="s">
        <v>327</v>
      </c>
      <c r="L6" s="20" t="n">
        <v>4</v>
      </c>
      <c r="M6" s="20" t="s">
        <v>328</v>
      </c>
    </row>
    <row r="7" customFormat="false" ht="15" hidden="false" customHeight="false" outlineLevel="0" collapsed="false">
      <c r="A7" s="21" t="s">
        <v>329</v>
      </c>
      <c r="B7" s="21" t="s">
        <v>330</v>
      </c>
      <c r="C7" s="21" t="s">
        <v>331</v>
      </c>
      <c r="D7" s="21" t="n">
        <v>4</v>
      </c>
      <c r="E7" s="21" t="n">
        <v>4</v>
      </c>
      <c r="F7" s="21" t="n">
        <f aca="false">D7*E7</f>
        <v>16</v>
      </c>
      <c r="G7" s="21" t="s">
        <v>24</v>
      </c>
      <c r="H7" s="21" t="s">
        <v>332</v>
      </c>
      <c r="I7" s="21" t="s">
        <v>130</v>
      </c>
      <c r="J7" s="21" t="s">
        <v>84</v>
      </c>
      <c r="K7" s="21" t="s">
        <v>333</v>
      </c>
      <c r="L7" s="21" t="n">
        <v>12</v>
      </c>
      <c r="M7" s="21" t="s">
        <v>334</v>
      </c>
    </row>
    <row r="8" customFormat="false" ht="28.35" hidden="false" customHeight="false" outlineLevel="0" collapsed="false">
      <c r="A8" s="20" t="s">
        <v>335</v>
      </c>
      <c r="B8" s="20" t="s">
        <v>336</v>
      </c>
      <c r="C8" s="20" t="s">
        <v>337</v>
      </c>
      <c r="D8" s="20" t="n">
        <v>3</v>
      </c>
      <c r="E8" s="20" t="n">
        <v>3</v>
      </c>
      <c r="F8" s="20" t="n">
        <f aca="false">D8*E8</f>
        <v>9</v>
      </c>
      <c r="G8" s="20" t="s">
        <v>25</v>
      </c>
      <c r="H8" s="20" t="s">
        <v>338</v>
      </c>
      <c r="I8" s="20" t="s">
        <v>116</v>
      </c>
      <c r="J8" s="20" t="s">
        <v>103</v>
      </c>
      <c r="K8" s="20" t="s">
        <v>339</v>
      </c>
      <c r="L8" s="20" t="n">
        <v>6</v>
      </c>
      <c r="M8" s="20" t="s">
        <v>340</v>
      </c>
    </row>
    <row r="11" customFormat="false" ht="30" hidden="false" customHeight="true" outlineLevel="0" collapsed="false">
      <c r="A11" s="3" t="s">
        <v>341</v>
      </c>
      <c r="B11" s="3"/>
      <c r="C11" s="3"/>
      <c r="D11" s="3"/>
      <c r="E11" s="3"/>
      <c r="F11" s="3"/>
      <c r="G11" s="3"/>
      <c r="H11" s="3"/>
    </row>
    <row r="13" customFormat="false" ht="15" hidden="false" customHeight="false" outlineLevel="0" collapsed="false">
      <c r="A13" s="24" t="s">
        <v>342</v>
      </c>
      <c r="B13" s="25" t="s">
        <v>343</v>
      </c>
      <c r="C13" s="25" t="s">
        <v>344</v>
      </c>
      <c r="D13" s="25" t="s">
        <v>345</v>
      </c>
      <c r="E13" s="25" t="s">
        <v>346</v>
      </c>
      <c r="F13" s="25" t="s">
        <v>347</v>
      </c>
    </row>
    <row r="14" customFormat="false" ht="15" hidden="false" customHeight="false" outlineLevel="0" collapsed="false">
      <c r="A14" s="26" t="s">
        <v>348</v>
      </c>
      <c r="B14" s="27"/>
      <c r="C14" s="28"/>
      <c r="D14" s="29"/>
      <c r="E14" s="29"/>
      <c r="F14" s="29"/>
    </row>
    <row r="15" customFormat="false" ht="15" hidden="false" customHeight="false" outlineLevel="0" collapsed="false">
      <c r="A15" s="26" t="s">
        <v>349</v>
      </c>
      <c r="B15" s="30"/>
      <c r="C15" s="27"/>
      <c r="D15" s="28"/>
      <c r="E15" s="29"/>
      <c r="F15" s="29"/>
    </row>
    <row r="16" customFormat="false" ht="15" hidden="false" customHeight="false" outlineLevel="0" collapsed="false">
      <c r="A16" s="26" t="s">
        <v>350</v>
      </c>
      <c r="B16" s="30"/>
      <c r="C16" s="27"/>
      <c r="D16" s="27"/>
      <c r="E16" s="28"/>
      <c r="F16" s="29"/>
    </row>
    <row r="17" customFormat="false" ht="15" hidden="false" customHeight="false" outlineLevel="0" collapsed="false">
      <c r="A17" s="26" t="s">
        <v>351</v>
      </c>
      <c r="B17" s="31"/>
      <c r="C17" s="30"/>
      <c r="D17" s="27"/>
      <c r="E17" s="27"/>
      <c r="F17" s="28"/>
    </row>
    <row r="18" customFormat="false" ht="15" hidden="false" customHeight="false" outlineLevel="0" collapsed="false">
      <c r="A18" s="26" t="s">
        <v>352</v>
      </c>
      <c r="B18" s="31"/>
      <c r="C18" s="31"/>
      <c r="D18" s="30"/>
      <c r="E18" s="27"/>
      <c r="F18" s="27"/>
    </row>
  </sheetData>
  <mergeCells count="2">
    <mergeCell ref="A1:H1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6" min="5" style="0" width="15"/>
    <col collapsed="false" customWidth="true" hidden="false" outlineLevel="0" max="11" min="7" style="0" width="12"/>
    <col collapsed="false" customWidth="true" hidden="false" outlineLevel="0" max="12" min="12" style="0" width="25"/>
    <col collapsed="false" customWidth="true" hidden="false" outlineLevel="0" max="13" min="13" style="0" width="15"/>
    <col collapsed="false" customWidth="true" hidden="false" outlineLevel="0" max="15" min="14" style="0" width="12"/>
    <col collapsed="false" customWidth="true" hidden="false" outlineLevel="0" max="16" min="16" style="0" width="40"/>
  </cols>
  <sheetData>
    <row r="1" customFormat="false" ht="34.5" hidden="false" customHeight="true" outlineLevel="0" collapsed="false">
      <c r="A1" s="19" t="s">
        <v>353</v>
      </c>
      <c r="B1" s="19" t="s">
        <v>354</v>
      </c>
      <c r="C1" s="19" t="s">
        <v>355</v>
      </c>
      <c r="D1" s="19" t="s">
        <v>356</v>
      </c>
      <c r="E1" s="19" t="s">
        <v>67</v>
      </c>
      <c r="F1" s="19" t="s">
        <v>357</v>
      </c>
      <c r="G1" s="19" t="s">
        <v>58</v>
      </c>
      <c r="H1" s="19" t="s">
        <v>358</v>
      </c>
      <c r="I1" s="19" t="s">
        <v>359</v>
      </c>
      <c r="J1" s="19" t="s">
        <v>65</v>
      </c>
      <c r="K1" s="19" t="s">
        <v>360</v>
      </c>
      <c r="L1" s="19" t="s">
        <v>361</v>
      </c>
      <c r="M1" s="19" t="s">
        <v>362</v>
      </c>
      <c r="N1" s="19" t="s">
        <v>363</v>
      </c>
      <c r="O1" s="19" t="s">
        <v>364</v>
      </c>
      <c r="P1" s="19" t="s">
        <v>78</v>
      </c>
    </row>
    <row r="2" customFormat="false" ht="15" hidden="false" customHeight="false" outlineLevel="0" collapsed="false">
      <c r="A2" s="20" t="s">
        <v>365</v>
      </c>
      <c r="B2" s="20" t="s">
        <v>79</v>
      </c>
      <c r="C2" s="20" t="s">
        <v>366</v>
      </c>
      <c r="D2" s="20" t="s">
        <v>367</v>
      </c>
      <c r="E2" s="20" t="s">
        <v>91</v>
      </c>
      <c r="F2" s="20" t="s">
        <v>87</v>
      </c>
      <c r="G2" s="22" t="s">
        <v>103</v>
      </c>
      <c r="H2" s="20" t="n">
        <v>75</v>
      </c>
      <c r="I2" s="20" t="s">
        <v>131</v>
      </c>
      <c r="J2" s="20" t="s">
        <v>132</v>
      </c>
      <c r="K2" s="20"/>
      <c r="L2" s="20" t="s">
        <v>368</v>
      </c>
      <c r="M2" s="20" t="s">
        <v>98</v>
      </c>
      <c r="N2" s="20" t="n">
        <v>8</v>
      </c>
      <c r="O2" s="20" t="n">
        <v>6</v>
      </c>
      <c r="P2" s="20" t="s">
        <v>369</v>
      </c>
    </row>
    <row r="3" customFormat="false" ht="15" hidden="false" customHeight="false" outlineLevel="0" collapsed="false">
      <c r="A3" s="21" t="s">
        <v>370</v>
      </c>
      <c r="B3" s="21" t="s">
        <v>98</v>
      </c>
      <c r="C3" s="21" t="s">
        <v>371</v>
      </c>
      <c r="D3" s="21" t="s">
        <v>367</v>
      </c>
      <c r="E3" s="21" t="s">
        <v>106</v>
      </c>
      <c r="F3" s="21" t="s">
        <v>87</v>
      </c>
      <c r="G3" s="23" t="s">
        <v>103</v>
      </c>
      <c r="H3" s="21" t="n">
        <v>50</v>
      </c>
      <c r="I3" s="21" t="s">
        <v>372</v>
      </c>
      <c r="J3" s="21" t="s">
        <v>373</v>
      </c>
      <c r="K3" s="21"/>
      <c r="L3" s="21" t="s">
        <v>374</v>
      </c>
      <c r="M3" s="21"/>
      <c r="N3" s="21" t="n">
        <v>12</v>
      </c>
      <c r="O3" s="21" t="n">
        <v>4</v>
      </c>
      <c r="P3" s="21" t="s">
        <v>375</v>
      </c>
    </row>
    <row r="4" customFormat="false" ht="15" hidden="false" customHeight="false" outlineLevel="0" collapsed="false">
      <c r="A4" s="20" t="s">
        <v>376</v>
      </c>
      <c r="B4" s="20" t="s">
        <v>183</v>
      </c>
      <c r="C4" s="20" t="s">
        <v>377</v>
      </c>
      <c r="D4" s="20" t="s">
        <v>367</v>
      </c>
      <c r="E4" s="20" t="s">
        <v>120</v>
      </c>
      <c r="F4" s="20" t="s">
        <v>378</v>
      </c>
      <c r="G4" s="22" t="s">
        <v>84</v>
      </c>
      <c r="H4" s="20" t="n">
        <v>0</v>
      </c>
      <c r="I4" s="20" t="s">
        <v>373</v>
      </c>
      <c r="J4" s="20" t="s">
        <v>181</v>
      </c>
      <c r="K4" s="20"/>
      <c r="L4" s="20" t="s">
        <v>379</v>
      </c>
      <c r="M4" s="20" t="s">
        <v>380</v>
      </c>
      <c r="N4" s="20" t="n">
        <v>24</v>
      </c>
      <c r="O4" s="20" t="n">
        <v>0</v>
      </c>
      <c r="P4" s="20" t="s">
        <v>381</v>
      </c>
    </row>
    <row r="5" customFormat="false" ht="15" hidden="false" customHeight="false" outlineLevel="0" collapsed="false">
      <c r="A5" s="21" t="s">
        <v>382</v>
      </c>
      <c r="B5" s="21" t="s">
        <v>170</v>
      </c>
      <c r="C5" s="21" t="s">
        <v>383</v>
      </c>
      <c r="D5" s="21" t="s">
        <v>384</v>
      </c>
      <c r="E5" s="21" t="s">
        <v>385</v>
      </c>
      <c r="F5" s="21" t="s">
        <v>378</v>
      </c>
      <c r="G5" s="23" t="s">
        <v>386</v>
      </c>
      <c r="H5" s="21" t="n">
        <v>100</v>
      </c>
      <c r="I5" s="21" t="s">
        <v>90</v>
      </c>
      <c r="J5" s="21" t="s">
        <v>143</v>
      </c>
      <c r="K5" s="21" t="s">
        <v>387</v>
      </c>
      <c r="L5" s="21"/>
      <c r="M5" s="21"/>
      <c r="N5" s="21" t="n">
        <v>16</v>
      </c>
      <c r="O5" s="21" t="n">
        <v>12</v>
      </c>
      <c r="P5" s="21" t="s">
        <v>388</v>
      </c>
    </row>
    <row r="6" customFormat="false" ht="15" hidden="false" customHeight="false" outlineLevel="0" collapsed="false">
      <c r="A6" s="20" t="s">
        <v>380</v>
      </c>
      <c r="B6" s="20" t="s">
        <v>194</v>
      </c>
      <c r="C6" s="20" t="s">
        <v>389</v>
      </c>
      <c r="D6" s="20" t="s">
        <v>384</v>
      </c>
      <c r="E6" s="20" t="s">
        <v>390</v>
      </c>
      <c r="F6" s="20" t="s">
        <v>378</v>
      </c>
      <c r="G6" s="22" t="s">
        <v>103</v>
      </c>
      <c r="H6" s="20" t="n">
        <v>30</v>
      </c>
      <c r="I6" s="20" t="s">
        <v>89</v>
      </c>
      <c r="J6" s="20" t="s">
        <v>312</v>
      </c>
      <c r="K6" s="20"/>
      <c r="L6" s="20" t="s">
        <v>391</v>
      </c>
      <c r="M6" s="20"/>
      <c r="N6" s="20" t="n">
        <v>120</v>
      </c>
      <c r="O6" s="20" t="n">
        <v>36</v>
      </c>
      <c r="P6" s="20" t="s">
        <v>392</v>
      </c>
    </row>
  </sheetData>
  <autoFilter ref="A1:P6"/>
  <conditionalFormatting sqref="H2:H1000">
    <cfRule type="dataBar" priority="2">
      <dataBar showValue="1" minLength="10" maxLength="90">
        <cfvo type="num" val="0"/>
        <cfvo type="num" val="100"/>
        <color rgb="FF27AE60"/>
      </dataBar>
      <extLst>
        <ext xmlns:x14="http://schemas.microsoft.com/office/spreadsheetml/2009/9/main" uri="{B025F937-C7B1-47D3-B67F-A62EFF666E3E}">
          <x14:id>{8F46B54B-91FD-4E9B-9470-515C7EE1D0A0}</x14:id>
        </ext>
      </extLst>
    </cfRule>
  </conditionalFormatting>
  <conditionalFormatting sqref="D2:D1000">
    <cfRule type="expression" priority="3" aboveAverage="0" equalAverage="0" bottom="0" percent="0" rank="0" text="" dxfId="9">
      <formula>LEFT($D2,2)="P1"</formula>
    </cfRule>
    <cfRule type="expression" priority="4" aboveAverage="0" equalAverage="0" bottom="0" percent="0" rank="0" text="" dxfId="10">
      <formula>LEFT($D2,2)="P2"</formula>
    </cfRule>
  </conditionalFormatting>
  <conditionalFormatting sqref="G2:G1000">
    <cfRule type="expression" priority="5" aboveAverage="0" equalAverage="0" bottom="0" percent="0" rank="0" text="" dxfId="19">
      <formula>$G2="Completed"</formula>
    </cfRule>
    <cfRule type="expression" priority="6" aboveAverage="0" equalAverage="0" bottom="0" percent="0" rank="0" text="" dxfId="14">
      <formula>$G2="In Progress"</formula>
    </cfRule>
    <cfRule type="expression" priority="7" aboveAverage="0" equalAverage="0" bottom="0" percent="0" rank="0" text="" dxfId="13">
      <formula>$G2="Open"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46B54B-91FD-4E9B-9470-515C7EE1D0A0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27AE60"/>
              <x14:axisColor rgb="FF000000"/>
            </x14:dataBar>
          </x14:cfRule>
          <xm:sqref>H2:H1000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35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2" min="10" style="0" width="12"/>
    <col collapsed="false" customWidth="true" hidden="false" outlineLevel="0" max="13" min="13" style="0" width="40"/>
  </cols>
  <sheetData>
    <row r="1" customFormat="false" ht="30" hidden="false" customHeight="true" outlineLevel="0" collapsed="false">
      <c r="A1" s="3" t="s">
        <v>393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customFormat="false" ht="34.5" hidden="false" customHeight="true" outlineLevel="0" collapsed="false">
      <c r="A3" s="19" t="s">
        <v>394</v>
      </c>
      <c r="B3" s="19" t="s">
        <v>395</v>
      </c>
      <c r="C3" s="19" t="s">
        <v>396</v>
      </c>
      <c r="D3" s="19" t="s">
        <v>397</v>
      </c>
      <c r="E3" s="19" t="s">
        <v>398</v>
      </c>
      <c r="F3" s="19" t="s">
        <v>399</v>
      </c>
      <c r="G3" s="19" t="s">
        <v>400</v>
      </c>
      <c r="H3" s="19" t="s">
        <v>401</v>
      </c>
      <c r="I3" s="19" t="s">
        <v>402</v>
      </c>
      <c r="J3" s="19" t="s">
        <v>255</v>
      </c>
      <c r="K3" s="19" t="s">
        <v>403</v>
      </c>
      <c r="L3" s="19" t="s">
        <v>404</v>
      </c>
      <c r="M3" s="19" t="s">
        <v>78</v>
      </c>
    </row>
    <row r="4" customFormat="false" ht="28.35" hidden="false" customHeight="false" outlineLevel="0" collapsed="false">
      <c r="A4" s="20" t="s">
        <v>405</v>
      </c>
      <c r="B4" s="20" t="s">
        <v>406</v>
      </c>
      <c r="C4" s="20" t="s">
        <v>407</v>
      </c>
      <c r="D4" s="20" t="s">
        <v>408</v>
      </c>
      <c r="E4" s="20" t="s">
        <v>409</v>
      </c>
      <c r="F4" s="20" t="s">
        <v>410</v>
      </c>
      <c r="G4" s="20" t="s">
        <v>411</v>
      </c>
      <c r="H4" s="20" t="s">
        <v>412</v>
      </c>
      <c r="I4" s="20" t="s">
        <v>93</v>
      </c>
      <c r="J4" s="20" t="s">
        <v>413</v>
      </c>
      <c r="K4" s="20" t="s">
        <v>131</v>
      </c>
      <c r="L4" s="20" t="s">
        <v>414</v>
      </c>
      <c r="M4" s="20" t="s">
        <v>415</v>
      </c>
    </row>
    <row r="5" customFormat="false" ht="28.35" hidden="false" customHeight="false" outlineLevel="0" collapsed="false">
      <c r="A5" s="21" t="s">
        <v>416</v>
      </c>
      <c r="B5" s="21" t="s">
        <v>406</v>
      </c>
      <c r="C5" s="21" t="s">
        <v>417</v>
      </c>
      <c r="D5" s="21" t="s">
        <v>418</v>
      </c>
      <c r="E5" s="21" t="s">
        <v>419</v>
      </c>
      <c r="F5" s="21" t="s">
        <v>420</v>
      </c>
      <c r="G5" s="21"/>
      <c r="H5" s="21" t="s">
        <v>421</v>
      </c>
      <c r="I5" s="21" t="s">
        <v>88</v>
      </c>
      <c r="J5" s="21" t="s">
        <v>130</v>
      </c>
      <c r="K5" s="21" t="s">
        <v>90</v>
      </c>
      <c r="L5" s="21" t="s">
        <v>422</v>
      </c>
      <c r="M5" s="21" t="s">
        <v>423</v>
      </c>
    </row>
    <row r="6" customFormat="false" ht="15" hidden="false" customHeight="false" outlineLevel="0" collapsed="false">
      <c r="A6" s="20" t="s">
        <v>424</v>
      </c>
      <c r="B6" s="20" t="s">
        <v>425</v>
      </c>
      <c r="C6" s="20" t="s">
        <v>426</v>
      </c>
      <c r="D6" s="20" t="s">
        <v>427</v>
      </c>
      <c r="E6" s="20" t="s">
        <v>409</v>
      </c>
      <c r="F6" s="20" t="s">
        <v>428</v>
      </c>
      <c r="G6" s="20" t="s">
        <v>429</v>
      </c>
      <c r="H6" s="20" t="s">
        <v>430</v>
      </c>
      <c r="I6" s="20" t="s">
        <v>93</v>
      </c>
      <c r="J6" s="20" t="s">
        <v>431</v>
      </c>
      <c r="K6" s="20" t="s">
        <v>372</v>
      </c>
      <c r="L6" s="20" t="s">
        <v>432</v>
      </c>
      <c r="M6" s="20" t="s">
        <v>433</v>
      </c>
    </row>
    <row r="7" customFormat="false" ht="15" hidden="false" customHeight="false" outlineLevel="0" collapsed="false">
      <c r="A7" s="21" t="s">
        <v>434</v>
      </c>
      <c r="B7" s="21" t="s">
        <v>277</v>
      </c>
      <c r="C7" s="21" t="s">
        <v>435</v>
      </c>
      <c r="D7" s="21" t="s">
        <v>436</v>
      </c>
      <c r="E7" s="21" t="s">
        <v>419</v>
      </c>
      <c r="F7" s="21" t="s">
        <v>437</v>
      </c>
      <c r="G7" s="21"/>
      <c r="H7" s="21" t="s">
        <v>438</v>
      </c>
      <c r="I7" s="21" t="s">
        <v>88</v>
      </c>
      <c r="J7" s="21" t="s">
        <v>439</v>
      </c>
      <c r="K7" s="21" t="s">
        <v>89</v>
      </c>
      <c r="L7" s="21" t="s">
        <v>440</v>
      </c>
      <c r="M7" s="21" t="s">
        <v>441</v>
      </c>
    </row>
    <row r="8" customFormat="false" ht="15" hidden="false" customHeight="false" outlineLevel="0" collapsed="false">
      <c r="A8" s="20" t="s">
        <v>442</v>
      </c>
      <c r="B8" s="20" t="s">
        <v>443</v>
      </c>
      <c r="C8" s="20" t="s">
        <v>444</v>
      </c>
      <c r="D8" s="20" t="s">
        <v>445</v>
      </c>
      <c r="E8" s="20" t="s">
        <v>409</v>
      </c>
      <c r="F8" s="20" t="s">
        <v>446</v>
      </c>
      <c r="G8" s="20" t="s">
        <v>447</v>
      </c>
      <c r="H8" s="20" t="s">
        <v>448</v>
      </c>
      <c r="I8" s="20" t="s">
        <v>93</v>
      </c>
      <c r="J8" s="20" t="s">
        <v>116</v>
      </c>
      <c r="K8" s="20" t="s">
        <v>373</v>
      </c>
      <c r="L8" s="20" t="s">
        <v>449</v>
      </c>
      <c r="M8" s="20" t="s">
        <v>450</v>
      </c>
    </row>
  </sheetData>
  <autoFilter ref="A3:M1000"/>
  <mergeCells count="1">
    <mergeCell ref="A1:L1"/>
  </mergeCells>
  <conditionalFormatting sqref="E4:E1000">
    <cfRule type="expression" priority="2" aboveAverage="0" equalAverage="0" bottom="0" percent="0" rank="0" text="" dxfId="19">
      <formula>$E4="Implemented"</formula>
    </cfRule>
    <cfRule type="expression" priority="3" aboveAverage="0" equalAverage="0" bottom="0" percent="0" rank="0" text="" dxfId="18">
      <formula>$E4="Partial"</formula>
    </cfRule>
    <cfRule type="expression" priority="4" aboveAverage="0" equalAverage="0" bottom="0" percent="0" rank="0" text="" dxfId="9">
      <formula>$E4="Not Implemented"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B801"/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9" min="7" style="0" width="15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2" min="12" style="0" width="25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40"/>
  </cols>
  <sheetData>
    <row r="1" customFormat="false" ht="34.5" hidden="false" customHeight="true" outlineLevel="0" collapsed="false">
      <c r="A1" s="19" t="s">
        <v>451</v>
      </c>
      <c r="B1" s="19" t="s">
        <v>452</v>
      </c>
      <c r="C1" s="19" t="s">
        <v>453</v>
      </c>
      <c r="D1" s="19" t="s">
        <v>244</v>
      </c>
      <c r="E1" s="19" t="s">
        <v>454</v>
      </c>
      <c r="F1" s="19" t="s">
        <v>455</v>
      </c>
      <c r="G1" s="19" t="s">
        <v>456</v>
      </c>
      <c r="H1" s="19" t="s">
        <v>457</v>
      </c>
      <c r="I1" s="19" t="s">
        <v>458</v>
      </c>
      <c r="J1" s="19" t="s">
        <v>459</v>
      </c>
      <c r="K1" s="19" t="s">
        <v>460</v>
      </c>
      <c r="L1" s="19" t="s">
        <v>461</v>
      </c>
      <c r="M1" s="19" t="s">
        <v>462</v>
      </c>
      <c r="N1" s="19" t="s">
        <v>58</v>
      </c>
      <c r="O1" s="19" t="s">
        <v>78</v>
      </c>
    </row>
    <row r="2" customFormat="false" ht="15" hidden="false" customHeight="false" outlineLevel="0" collapsed="false">
      <c r="A2" s="20" t="s">
        <v>463</v>
      </c>
      <c r="B2" s="20" t="s">
        <v>464</v>
      </c>
      <c r="C2" s="20" t="s">
        <v>465</v>
      </c>
      <c r="D2" s="20" t="s">
        <v>23</v>
      </c>
      <c r="E2" s="20" t="s">
        <v>466</v>
      </c>
      <c r="F2" s="20" t="s">
        <v>467</v>
      </c>
      <c r="G2" s="20" t="s">
        <v>468</v>
      </c>
      <c r="H2" s="20" t="s">
        <v>469</v>
      </c>
      <c r="I2" s="20" t="s">
        <v>470</v>
      </c>
      <c r="J2" s="20" t="n">
        <v>95</v>
      </c>
      <c r="K2" s="20" t="n">
        <v>1</v>
      </c>
      <c r="L2" s="20" t="s">
        <v>471</v>
      </c>
      <c r="M2" s="20" t="s">
        <v>472</v>
      </c>
      <c r="N2" s="20" t="s">
        <v>269</v>
      </c>
      <c r="O2" s="20" t="s">
        <v>473</v>
      </c>
    </row>
    <row r="3" customFormat="false" ht="15" hidden="false" customHeight="false" outlineLevel="0" collapsed="false">
      <c r="A3" s="21" t="s">
        <v>474</v>
      </c>
      <c r="B3" s="21" t="s">
        <v>475</v>
      </c>
      <c r="C3" s="21" t="s">
        <v>476</v>
      </c>
      <c r="D3" s="21" t="s">
        <v>23</v>
      </c>
      <c r="E3" s="21" t="s">
        <v>466</v>
      </c>
      <c r="F3" s="21" t="s">
        <v>477</v>
      </c>
      <c r="G3" s="21" t="s">
        <v>89</v>
      </c>
      <c r="H3" s="21" t="s">
        <v>478</v>
      </c>
      <c r="I3" s="21" t="s">
        <v>479</v>
      </c>
      <c r="J3" s="21" t="n">
        <v>98</v>
      </c>
      <c r="K3" s="21" t="n">
        <v>0</v>
      </c>
      <c r="L3" s="21" t="s">
        <v>480</v>
      </c>
      <c r="M3" s="21" t="s">
        <v>472</v>
      </c>
      <c r="N3" s="21" t="s">
        <v>269</v>
      </c>
      <c r="O3" s="21" t="s">
        <v>481</v>
      </c>
    </row>
    <row r="4" customFormat="false" ht="28.35" hidden="false" customHeight="false" outlineLevel="0" collapsed="false">
      <c r="A4" s="20" t="s">
        <v>482</v>
      </c>
      <c r="B4" s="20" t="s">
        <v>483</v>
      </c>
      <c r="C4" s="20" t="s">
        <v>484</v>
      </c>
      <c r="D4" s="20" t="s">
        <v>24</v>
      </c>
      <c r="E4" s="20" t="s">
        <v>485</v>
      </c>
      <c r="F4" s="20" t="s">
        <v>486</v>
      </c>
      <c r="G4" s="20" t="s">
        <v>487</v>
      </c>
      <c r="H4" s="20" t="s">
        <v>488</v>
      </c>
      <c r="I4" s="20" t="s">
        <v>489</v>
      </c>
      <c r="J4" s="20" t="n">
        <v>88</v>
      </c>
      <c r="K4" s="20" t="n">
        <v>2</v>
      </c>
      <c r="L4" s="20" t="s">
        <v>277</v>
      </c>
      <c r="M4" s="20" t="s">
        <v>490</v>
      </c>
      <c r="N4" s="20" t="s">
        <v>491</v>
      </c>
      <c r="O4" s="20" t="s">
        <v>492</v>
      </c>
    </row>
    <row r="5" customFormat="false" ht="15" hidden="false" customHeight="false" outlineLevel="0" collapsed="false">
      <c r="A5" s="21" t="s">
        <v>493</v>
      </c>
      <c r="B5" s="21" t="s">
        <v>494</v>
      </c>
      <c r="C5" s="21" t="s">
        <v>495</v>
      </c>
      <c r="D5" s="21" t="s">
        <v>25</v>
      </c>
      <c r="E5" s="21" t="s">
        <v>496</v>
      </c>
      <c r="F5" s="21" t="s">
        <v>497</v>
      </c>
      <c r="G5" s="21" t="s">
        <v>131</v>
      </c>
      <c r="H5" s="21" t="s">
        <v>498</v>
      </c>
      <c r="I5" s="21" t="s">
        <v>95</v>
      </c>
      <c r="J5" s="21" t="s">
        <v>95</v>
      </c>
      <c r="K5" s="21" t="n">
        <v>3</v>
      </c>
      <c r="L5" s="21" t="s">
        <v>95</v>
      </c>
      <c r="M5" s="21" t="s">
        <v>499</v>
      </c>
      <c r="N5" s="21" t="s">
        <v>269</v>
      </c>
      <c r="O5" s="21" t="s">
        <v>500</v>
      </c>
    </row>
    <row r="6" customFormat="false" ht="15" hidden="false" customHeight="false" outlineLevel="0" collapsed="false">
      <c r="A6" s="20" t="s">
        <v>501</v>
      </c>
      <c r="B6" s="20" t="s">
        <v>502</v>
      </c>
      <c r="C6" s="20" t="s">
        <v>503</v>
      </c>
      <c r="D6" s="20" t="s">
        <v>23</v>
      </c>
      <c r="E6" s="20" t="s">
        <v>504</v>
      </c>
      <c r="F6" s="20" t="s">
        <v>505</v>
      </c>
      <c r="G6" s="20" t="s">
        <v>181</v>
      </c>
      <c r="H6" s="20" t="s">
        <v>506</v>
      </c>
      <c r="I6" s="20" t="s">
        <v>95</v>
      </c>
      <c r="J6" s="20" t="s">
        <v>95</v>
      </c>
      <c r="K6" s="20" t="n">
        <v>1</v>
      </c>
      <c r="L6" s="20" t="s">
        <v>95</v>
      </c>
      <c r="M6" s="20" t="s">
        <v>472</v>
      </c>
      <c r="N6" s="20" t="s">
        <v>319</v>
      </c>
      <c r="O6" s="20" t="s">
        <v>507</v>
      </c>
    </row>
  </sheetData>
  <autoFilter ref="A1:O6"/>
  <conditionalFormatting sqref="M2:M1000">
    <cfRule type="expression" priority="2" aboveAverage="0" equalAverage="0" bottom="0" percent="0" rank="0" text="" dxfId="9">
      <formula>$M2="Tier 1"</formula>
    </cfRule>
    <cfRule type="expression" priority="3" aboveAverage="0" equalAverage="0" bottom="0" percent="0" rank="0" text="" dxfId="18">
      <formula>$M2="Tier 2"</formula>
    </cfRule>
    <cfRule type="expression" priority="4" aboveAverage="0" equalAverage="0" bottom="0" percent="0" rank="0" text="" dxfId="19">
      <formula>$M2="Tier 3"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A5A6"/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12"/>
  </cols>
  <sheetData>
    <row r="1" customFormat="false" ht="30" hidden="false" customHeight="true" outlineLevel="0" collapsed="false">
      <c r="A1" s="3" t="s">
        <v>508</v>
      </c>
      <c r="B1" s="3"/>
      <c r="C1" s="3"/>
      <c r="D1" s="3"/>
    </row>
    <row r="3" customFormat="false" ht="15" hidden="false" customHeight="false" outlineLevel="0" collapsed="false">
      <c r="A3" s="13" t="s">
        <v>509</v>
      </c>
    </row>
    <row r="4" customFormat="false" ht="34.5" hidden="false" customHeight="true" outlineLevel="0" collapsed="false">
      <c r="A4" s="19" t="s">
        <v>510</v>
      </c>
      <c r="B4" s="19" t="s">
        <v>511</v>
      </c>
      <c r="C4" s="19" t="s">
        <v>512</v>
      </c>
      <c r="D4" s="19" t="s">
        <v>513</v>
      </c>
    </row>
    <row r="5" customFormat="false" ht="15" hidden="false" customHeight="false" outlineLevel="0" collapsed="false">
      <c r="A5" s="21" t="s">
        <v>23</v>
      </c>
      <c r="B5" s="21" t="s">
        <v>514</v>
      </c>
      <c r="C5" s="21" t="s">
        <v>515</v>
      </c>
      <c r="D5" s="21"/>
    </row>
    <row r="6" customFormat="false" ht="15" hidden="false" customHeight="false" outlineLevel="0" collapsed="false">
      <c r="A6" s="20" t="s">
        <v>24</v>
      </c>
      <c r="B6" s="20" t="s">
        <v>516</v>
      </c>
      <c r="C6" s="20" t="s">
        <v>517</v>
      </c>
      <c r="D6" s="20"/>
    </row>
    <row r="7" customFormat="false" ht="15" hidden="false" customHeight="false" outlineLevel="0" collapsed="false">
      <c r="A7" s="21" t="s">
        <v>25</v>
      </c>
      <c r="B7" s="21" t="s">
        <v>518</v>
      </c>
      <c r="C7" s="21" t="s">
        <v>519</v>
      </c>
      <c r="D7" s="21"/>
    </row>
    <row r="8" customFormat="false" ht="15" hidden="false" customHeight="false" outlineLevel="0" collapsed="false">
      <c r="A8" s="20" t="s">
        <v>26</v>
      </c>
      <c r="B8" s="20" t="s">
        <v>520</v>
      </c>
      <c r="C8" s="20" t="s">
        <v>521</v>
      </c>
      <c r="D8" s="20"/>
    </row>
    <row r="9" customFormat="false" ht="15" hidden="false" customHeight="false" outlineLevel="0" collapsed="false">
      <c r="A9" s="21" t="s">
        <v>522</v>
      </c>
      <c r="B9" s="21" t="s">
        <v>523</v>
      </c>
      <c r="C9" s="21" t="s">
        <v>524</v>
      </c>
      <c r="D9" s="21"/>
    </row>
    <row r="12" customFormat="false" ht="15" hidden="false" customHeight="false" outlineLevel="0" collapsed="false">
      <c r="A12" s="13" t="s">
        <v>525</v>
      </c>
    </row>
    <row r="13" customFormat="false" ht="34.5" hidden="false" customHeight="true" outlineLevel="0" collapsed="false">
      <c r="A13" s="19" t="s">
        <v>58</v>
      </c>
      <c r="B13" s="19" t="s">
        <v>54</v>
      </c>
    </row>
    <row r="14" customFormat="false" ht="15" hidden="false" customHeight="false" outlineLevel="0" collapsed="false">
      <c r="A14" s="20" t="s">
        <v>84</v>
      </c>
      <c r="B14" s="20" t="s">
        <v>526</v>
      </c>
    </row>
    <row r="15" customFormat="false" ht="15" hidden="false" customHeight="false" outlineLevel="0" collapsed="false">
      <c r="A15" s="21" t="s">
        <v>103</v>
      </c>
      <c r="B15" s="21" t="s">
        <v>527</v>
      </c>
    </row>
    <row r="16" customFormat="false" ht="15" hidden="false" customHeight="false" outlineLevel="0" collapsed="false">
      <c r="A16" s="20" t="s">
        <v>48</v>
      </c>
      <c r="B16" s="20" t="s">
        <v>528</v>
      </c>
    </row>
    <row r="17" customFormat="false" ht="15" hidden="false" customHeight="false" outlineLevel="0" collapsed="false">
      <c r="A17" s="21" t="s">
        <v>529</v>
      </c>
      <c r="B17" s="21" t="s">
        <v>530</v>
      </c>
    </row>
    <row r="18" customFormat="false" ht="15" hidden="false" customHeight="false" outlineLevel="0" collapsed="false">
      <c r="A18" s="20" t="s">
        <v>531</v>
      </c>
      <c r="B18" s="20" t="s">
        <v>532</v>
      </c>
    </row>
    <row r="21" customFormat="false" ht="15" hidden="false" customHeight="false" outlineLevel="0" collapsed="false">
      <c r="A21" s="13" t="s">
        <v>533</v>
      </c>
    </row>
    <row r="22" customFormat="false" ht="34.5" hidden="false" customHeight="true" outlineLevel="0" collapsed="false">
      <c r="A22" s="19" t="s">
        <v>356</v>
      </c>
      <c r="B22" s="19" t="s">
        <v>54</v>
      </c>
      <c r="C22" s="19" t="s">
        <v>534</v>
      </c>
    </row>
    <row r="23" customFormat="false" ht="15" hidden="false" customHeight="false" outlineLevel="0" collapsed="false">
      <c r="A23" s="21" t="s">
        <v>367</v>
      </c>
      <c r="B23" s="21" t="s">
        <v>535</v>
      </c>
      <c r="C23" s="21" t="s">
        <v>536</v>
      </c>
    </row>
    <row r="24" customFormat="false" ht="15" hidden="false" customHeight="false" outlineLevel="0" collapsed="false">
      <c r="A24" s="20" t="s">
        <v>384</v>
      </c>
      <c r="B24" s="20" t="s">
        <v>537</v>
      </c>
      <c r="C24" s="20" t="s">
        <v>515</v>
      </c>
    </row>
    <row r="25" customFormat="false" ht="15" hidden="false" customHeight="false" outlineLevel="0" collapsed="false">
      <c r="A25" s="21" t="s">
        <v>538</v>
      </c>
      <c r="B25" s="21" t="s">
        <v>539</v>
      </c>
      <c r="C25" s="21" t="s">
        <v>540</v>
      </c>
    </row>
    <row r="26" customFormat="false" ht="15" hidden="false" customHeight="false" outlineLevel="0" collapsed="false">
      <c r="A26" s="20" t="s">
        <v>541</v>
      </c>
      <c r="B26" s="20" t="s">
        <v>542</v>
      </c>
      <c r="C26" s="20" t="s">
        <v>543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2025-12-11T19:02:11Z</dcterms:created>
  <dc:creator>openpyxl</dc:creator>
  <dc:description/>
  <dc:language>en-US</dc:language>
  <cp:lastModifiedBy/>
  <dcterms:modified xsi:type="dcterms:W3CDTF">2025-12-11T19:02:11Z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