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jects" sheetId="2" state="visible" r:id="rId4"/>
    <sheet name="TechStack" sheetId="3" state="visible" r:id="rId5"/>
    <sheet name="Dependencies" sheetId="4" state="visible" r:id="rId6"/>
    <sheet name="Frameworks" sheetId="5" state="visible" r:id="rId7"/>
    <sheet name="VulnWatch" sheetId="6" state="visible" r:id="rId8"/>
    <sheet name="VersionMatrix" sheetId="7" state="visible" r:id="rId9"/>
    <sheet name="UpdateLog" sheetId="8" state="visible" r:id="rId10"/>
    <sheet name="Lookups" sheetId="9" state="visible" r:id="rId11"/>
  </sheets>
  <definedNames>
    <definedName function="false" hidden="true" localSheetId="3" name="_xlnm._FilterDatabase" vbProcedure="false">Dependencies!$A$1:$U$13</definedName>
    <definedName function="false" hidden="true" localSheetId="4" name="_xlnm._FilterDatabase" vbProcedure="false">Frameworks!$A$1:$R$11</definedName>
    <definedName function="false" hidden="true" localSheetId="1" name="_xlnm._FilterDatabase" vbProcedure="false">Projects!$A$1:$V$6</definedName>
    <definedName function="false" hidden="true" localSheetId="2" name="_xlnm._FilterDatabase" vbProcedure="false">TechStack!$A$3:$P$100</definedName>
    <definedName function="false" hidden="true" localSheetId="7" name="_xlnm._FilterDatabase" vbProcedure="false">UpdateLog!$A$1:$O$7</definedName>
    <definedName function="false" hidden="true" localSheetId="5" name="_xlnm._FilterDatabase" vbProcedure="false">VulnWatch!$A$1:$W$9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<sst xmlns="http://schemas.openxmlformats.org/spreadsheetml/2006/main" count="1300" uniqueCount="623">
  <si>
    <t xml:space="preserve">🔐 PROJECT DEPENDENCY &amp; VULNERABILITY TRACKER</t>
  </si>
  <si>
    <t xml:space="preserve">Generated: 2025-12-11 19:14 | Track dependencies, frameworks, and vulnerabilities across all projects</t>
  </si>
  <si>
    <t xml:space="preserve">📊 PROJECT OVERVIEW</t>
  </si>
  <si>
    <t xml:space="preserve">🛡️ VULNERABILITY STATUS</t>
  </si>
  <si>
    <t xml:space="preserve">Total Projects</t>
  </si>
  <si>
    <t xml:space="preserve">Active Projects</t>
  </si>
  <si>
    <t xml:space="preserve">Total Dependencies</t>
  </si>
  <si>
    <t xml:space="preserve">Total Frameworks</t>
  </si>
  <si>
    <t xml:space="preserve">Watching</t>
  </si>
  <si>
    <t xml:space="preserve">Critical</t>
  </si>
  <si>
    <t xml:space="preserve">High</t>
  </si>
  <si>
    <t xml:space="preserve">Affected Deps</t>
  </si>
  <si>
    <t xml:space="preserve">📦 DEPENDENCY HEALTH</t>
  </si>
  <si>
    <t xml:space="preserve">🏗️ FRAMEWORK STATUS</t>
  </si>
  <si>
    <t xml:space="preserve">Up-to-Date</t>
  </si>
  <si>
    <t xml:space="preserve">Outdated</t>
  </si>
  <si>
    <t xml:space="preserve">Critical Update</t>
  </si>
  <si>
    <t xml:space="preserve">EOL/Deprecated</t>
  </si>
  <si>
    <t xml:space="preserve">Current</t>
  </si>
  <si>
    <t xml:space="preserve">Update Available</t>
  </si>
  <si>
    <t xml:space="preserve">Major Behind</t>
  </si>
  <si>
    <t xml:space="preserve">Unsupported</t>
  </si>
  <si>
    <t xml:space="preserve">⚠️ ACTION REQUIRED - ITEMS NEEDING ATTENTION</t>
  </si>
  <si>
    <t xml:space="preserve">Priority</t>
  </si>
  <si>
    <t xml:space="preserve">Type</t>
  </si>
  <si>
    <t xml:space="preserve">Item</t>
  </si>
  <si>
    <t xml:space="preserve">Current Version</t>
  </si>
  <si>
    <t xml:space="preserve">Issue</t>
  </si>
  <si>
    <t xml:space="preserve">Affected Projects</t>
  </si>
  <si>
    <t xml:space="preserve">Action Required</t>
  </si>
  <si>
    <t xml:space="preserve">Due Date</t>
  </si>
  <si>
    <t xml:space="preserve">🔴 P1</t>
  </si>
  <si>
    <t xml:space="preserve">Vulnerability</t>
  </si>
  <si>
    <t xml:space="preserve">CVE-2024-XXXXX</t>
  </si>
  <si>
    <t xml:space="preserve">-</t>
  </si>
  <si>
    <t xml:space="preserve">Critical RCE in log4j</t>
  </si>
  <si>
    <t xml:space="preserve">PROJ-001, PROJ-003</t>
  </si>
  <si>
    <t xml:space="preserve">Immediate upgrade to 2.23.1</t>
  </si>
  <si>
    <t xml:space="preserve">ASAP</t>
  </si>
  <si>
    <t xml:space="preserve">Dependency</t>
  </si>
  <si>
    <t xml:space="preserve">lodash</t>
  </si>
  <si>
    <t xml:space="preserve">4.17.15</t>
  </si>
  <si>
    <t xml:space="preserve">3 known CVEs, 6 versions behind</t>
  </si>
  <si>
    <t xml:space="preserve">PROJ-001, PROJ-002</t>
  </si>
  <si>
    <t xml:space="preserve">Upgrade to 4.17.21</t>
  </si>
  <si>
    <t xml:space="preserve">2024-12-01</t>
  </si>
  <si>
    <t xml:space="preserve">🟠 P2</t>
  </si>
  <si>
    <t xml:space="preserve">Framework</t>
  </si>
  <si>
    <t xml:space="preserve">Spring Boot</t>
  </si>
  <si>
    <t xml:space="preserve">2.7.18</t>
  </si>
  <si>
    <t xml:space="preserve">EOL Jan 2024, security patches only</t>
  </si>
  <si>
    <t xml:space="preserve">PROJ-003</t>
  </si>
  <si>
    <t xml:space="preserve">Plan migration to 3.x</t>
  </si>
  <si>
    <t xml:space="preserve">2024-12-31</t>
  </si>
  <si>
    <t xml:space="preserve">moment.js</t>
  </si>
  <si>
    <t xml:space="preserve">2.29.4</t>
  </si>
  <si>
    <t xml:space="preserve">Project deprecated, recommend migration</t>
  </si>
  <si>
    <t xml:space="preserve">PROJ-001, PROJ-004</t>
  </si>
  <si>
    <t xml:space="preserve">Migrate to dayjs or date-fns</t>
  </si>
  <si>
    <t xml:space="preserve">2025-01-15</t>
  </si>
  <si>
    <t xml:space="preserve">🟡 P3</t>
  </si>
  <si>
    <t xml:space="preserve">React</t>
  </si>
  <si>
    <t xml:space="preserve">17.0.2</t>
  </si>
  <si>
    <t xml:space="preserve">2 major versions behind</t>
  </si>
  <si>
    <t xml:space="preserve">PROJ-002</t>
  </si>
  <si>
    <t xml:space="preserve">Schedule upgrade to React 18</t>
  </si>
  <si>
    <t xml:space="preserve">2025-02-01</t>
  </si>
  <si>
    <t xml:space="preserve">📝 RECENT UPDATES</t>
  </si>
  <si>
    <t xml:space="preserve">🔔 VULNERABILITY FEED</t>
  </si>
  <si>
    <t xml:space="preserve">Date</t>
  </si>
  <si>
    <t xml:space="preserve">Project</t>
  </si>
  <si>
    <t xml:space="preserve">Component</t>
  </si>
  <si>
    <t xml:space="preserve">From</t>
  </si>
  <si>
    <t xml:space="preserve">To</t>
  </si>
  <si>
    <t xml:space="preserve">Updated By</t>
  </si>
  <si>
    <t xml:space="preserve">CVE</t>
  </si>
  <si>
    <t xml:space="preserve">Severity</t>
  </si>
  <si>
    <t xml:space="preserve">Our Status</t>
  </si>
  <si>
    <t xml:space="preserve">Action</t>
  </si>
  <si>
    <t xml:space="preserve">2024-11-15</t>
  </si>
  <si>
    <t xml:space="preserve">PROJ-001</t>
  </si>
  <si>
    <t xml:space="preserve">express</t>
  </si>
  <si>
    <t xml:space="preserve">4.18.2</t>
  </si>
  <si>
    <t xml:space="preserve">4.19.2</t>
  </si>
  <si>
    <t xml:space="preserve">jsmith</t>
  </si>
  <si>
    <t xml:space="preserve">CVE-2024-9999</t>
  </si>
  <si>
    <t xml:space="preserve">OpenSSL 3.x</t>
  </si>
  <si>
    <t xml:space="preserve">Not Affected</t>
  </si>
  <si>
    <t xml:space="preserve">No action</t>
  </si>
  <si>
    <t xml:space="preserve">2024-11-14</t>
  </si>
  <si>
    <t xml:space="preserve">18.2.0</t>
  </si>
  <si>
    <t xml:space="preserve">achen</t>
  </si>
  <si>
    <t xml:space="preserve">CVE-2024-8888</t>
  </si>
  <si>
    <t xml:space="preserve">Node.js</t>
  </si>
  <si>
    <t xml:space="preserve">Investigating</t>
  </si>
  <si>
    <t xml:space="preserve">Review usage</t>
  </si>
  <si>
    <t xml:space="preserve">2024-11-13</t>
  </si>
  <si>
    <t xml:space="preserve">Django</t>
  </si>
  <si>
    <t xml:space="preserve">4.1.0</t>
  </si>
  <si>
    <t xml:space="preserve">4.2.7</t>
  </si>
  <si>
    <t xml:space="preserve">mwilson</t>
  </si>
  <si>
    <t xml:space="preserve">CVE-2024-7777</t>
  </si>
  <si>
    <t xml:space="preserve">Medium</t>
  </si>
  <si>
    <t xml:space="preserve">PostgreSQL</t>
  </si>
  <si>
    <t xml:space="preserve">Patching</t>
  </si>
  <si>
    <t xml:space="preserve">Scheduled</t>
  </si>
  <si>
    <t xml:space="preserve">2024-11-12</t>
  </si>
  <si>
    <t xml:space="preserve">axios</t>
  </si>
  <si>
    <t xml:space="preserve">1.4.0</t>
  </si>
  <si>
    <t xml:space="preserve">1.6.2</t>
  </si>
  <si>
    <t xml:space="preserve">CVE-2024-6666</t>
  </si>
  <si>
    <t xml:space="preserve">curl</t>
  </si>
  <si>
    <t xml:space="preserve">Patched</t>
  </si>
  <si>
    <t xml:space="preserve">Complete</t>
  </si>
  <si>
    <t xml:space="preserve">Project ID</t>
  </si>
  <si>
    <t xml:space="preserve">Project Name</t>
  </si>
  <si>
    <t xml:space="preserve">Description</t>
  </si>
  <si>
    <t xml:space="preserve">Business Unit</t>
  </si>
  <si>
    <t xml:space="preserve">Owner</t>
  </si>
  <si>
    <t xml:space="preserve">Tech Lead</t>
  </si>
  <si>
    <t xml:space="preserve">Status</t>
  </si>
  <si>
    <t xml:space="preserve">Environment</t>
  </si>
  <si>
    <t xml:space="preserve">Criticality</t>
  </si>
  <si>
    <t xml:space="preserve">Repository URL</t>
  </si>
  <si>
    <t xml:space="preserve">CI/CD Pipeline</t>
  </si>
  <si>
    <t xml:space="preserve">Last Scan Date</t>
  </si>
  <si>
    <t xml:space="preserve">Total Deps</t>
  </si>
  <si>
    <t xml:space="preserve">Outdated Deps</t>
  </si>
  <si>
    <t xml:space="preserve">Vulnerable Deps</t>
  </si>
  <si>
    <t xml:space="preserve">Framework Count</t>
  </si>
  <si>
    <t xml:space="preserve">Risk Score</t>
  </si>
  <si>
    <t xml:space="preserve">Compliance</t>
  </si>
  <si>
    <t xml:space="preserve">Data Classification</t>
  </si>
  <si>
    <t xml:space="preserve">Internet Facing</t>
  </si>
  <si>
    <t xml:space="preserve">Created Date</t>
  </si>
  <si>
    <t xml:space="preserve">Notes</t>
  </si>
  <si>
    <t xml:space="preserve">Customer Portal</t>
  </si>
  <si>
    <t xml:space="preserve">Customer-facing web application</t>
  </si>
  <si>
    <t xml:space="preserve">Sales</t>
  </si>
  <si>
    <t xml:space="preserve">Jane Doe</t>
  </si>
  <si>
    <t xml:space="preserve">John Smith</t>
  </si>
  <si>
    <t xml:space="preserve">Active</t>
  </si>
  <si>
    <t xml:space="preserve">Production</t>
  </si>
  <si>
    <t xml:space="preserve">https://github.com/corp/portal</t>
  </si>
  <si>
    <t xml:space="preserve">Jenkins</t>
  </si>
  <si>
    <t xml:space="preserve">SOC2, PCI-DSS</t>
  </si>
  <si>
    <t xml:space="preserve">Confidential</t>
  </si>
  <si>
    <t xml:space="preserve">Yes</t>
  </si>
  <si>
    <t xml:space="preserve">2023-01-15</t>
  </si>
  <si>
    <t xml:space="preserve">Primary revenue application</t>
  </si>
  <si>
    <t xml:space="preserve">Internal Dashboard</t>
  </si>
  <si>
    <t xml:space="preserve">Analytics and reporting tool</t>
  </si>
  <si>
    <t xml:space="preserve">Operations</t>
  </si>
  <si>
    <t xml:space="preserve">Bob Wilson</t>
  </si>
  <si>
    <t xml:space="preserve">Sarah Chen</t>
  </si>
  <si>
    <t xml:space="preserve">https://github.com/corp/dashboard</t>
  </si>
  <si>
    <t xml:space="preserve">GitHub Actions</t>
  </si>
  <si>
    <t xml:space="preserve">SOC2</t>
  </si>
  <si>
    <t xml:space="preserve">Internal</t>
  </si>
  <si>
    <t xml:space="preserve">No</t>
  </si>
  <si>
    <t xml:space="preserve">2023-03-20</t>
  </si>
  <si>
    <t xml:space="preserve">Business intelligence</t>
  </si>
  <si>
    <t xml:space="preserve">Payment Service</t>
  </si>
  <si>
    <t xml:space="preserve">Payment processing microservice</t>
  </si>
  <si>
    <t xml:space="preserve">Finance</t>
  </si>
  <si>
    <t xml:space="preserve">Mike Johnson</t>
  </si>
  <si>
    <t xml:space="preserve">Lisa Wang</t>
  </si>
  <si>
    <t xml:space="preserve">https://github.com/corp/payments</t>
  </si>
  <si>
    <t xml:space="preserve">GitLab CI</t>
  </si>
  <si>
    <t xml:space="preserve">PCI-DSS, SOX</t>
  </si>
  <si>
    <t xml:space="preserve">Highly Confidential</t>
  </si>
  <si>
    <t xml:space="preserve">2022-08-10</t>
  </si>
  <si>
    <t xml:space="preserve">Core payment processing</t>
  </si>
  <si>
    <t xml:space="preserve">PROJ-004</t>
  </si>
  <si>
    <t xml:space="preserve">Mobile API</t>
  </si>
  <si>
    <t xml:space="preserve">Backend API for mobile apps</t>
  </si>
  <si>
    <t xml:space="preserve">Product</t>
  </si>
  <si>
    <t xml:space="preserve">Emily Davis</t>
  </si>
  <si>
    <t xml:space="preserve">Tom Brown</t>
  </si>
  <si>
    <t xml:space="preserve">https://github.com/corp/mobile-api</t>
  </si>
  <si>
    <t xml:space="preserve">CircleCI</t>
  </si>
  <si>
    <t xml:space="preserve">2023-06-01</t>
  </si>
  <si>
    <t xml:space="preserve">iOS and Android backend</t>
  </si>
  <si>
    <t xml:space="preserve">PROJ-005</t>
  </si>
  <si>
    <t xml:space="preserve">Data Pipeline</t>
  </si>
  <si>
    <t xml:space="preserve">ETL and data processing</t>
  </si>
  <si>
    <t xml:space="preserve">Data</t>
  </si>
  <si>
    <t xml:space="preserve">Chris Anderson</t>
  </si>
  <si>
    <t xml:space="preserve">Nina Patel</t>
  </si>
  <si>
    <t xml:space="preserve">https://github.com/corp/data-pipeline</t>
  </si>
  <si>
    <t xml:space="preserve">Airflow</t>
  </si>
  <si>
    <t xml:space="preserve">GDPR</t>
  </si>
  <si>
    <t xml:space="preserve">2023-09-15</t>
  </si>
  <si>
    <t xml:space="preserve">Data warehouse ETL</t>
  </si>
  <si>
    <t xml:space="preserve">🛠️ TECHNOLOGY STACK BY PROJECT</t>
  </si>
  <si>
    <t xml:space="preserve">Languages</t>
  </si>
  <si>
    <t xml:space="preserve">Frontend Framework</t>
  </si>
  <si>
    <t xml:space="preserve">Backend Framework</t>
  </si>
  <si>
    <t xml:space="preserve">Database</t>
  </si>
  <si>
    <t xml:space="preserve">Cache/Queue</t>
  </si>
  <si>
    <t xml:space="preserve">Cloud Provider</t>
  </si>
  <si>
    <t xml:space="preserve">Container/Orchestration</t>
  </si>
  <si>
    <t xml:space="preserve">CI/CD</t>
  </si>
  <si>
    <t xml:space="preserve">Monitoring</t>
  </si>
  <si>
    <t xml:space="preserve">Logging</t>
  </si>
  <si>
    <t xml:space="preserve">Auth Provider</t>
  </si>
  <si>
    <t xml:space="preserve">CDN</t>
  </si>
  <si>
    <t xml:space="preserve">Other Services</t>
  </si>
  <si>
    <t xml:space="preserve">Last Updated</t>
  </si>
  <si>
    <t xml:space="preserve">TypeScript, JavaScript</t>
  </si>
  <si>
    <t xml:space="preserve">React 18.2.0</t>
  </si>
  <si>
    <t xml:space="preserve">Node.js 20.x / Express 4.19.2</t>
  </si>
  <si>
    <t xml:space="preserve">PostgreSQL 15.4</t>
  </si>
  <si>
    <t xml:space="preserve">Redis 7.2</t>
  </si>
  <si>
    <t xml:space="preserve">AWS</t>
  </si>
  <si>
    <t xml:space="preserve">Docker / ECS</t>
  </si>
  <si>
    <t xml:space="preserve">Datadog</t>
  </si>
  <si>
    <t xml:space="preserve">CloudWatch</t>
  </si>
  <si>
    <t xml:space="preserve">Auth0</t>
  </si>
  <si>
    <t xml:space="preserve">CloudFront</t>
  </si>
  <si>
    <t xml:space="preserve">S3, SQS, Lambda</t>
  </si>
  <si>
    <t xml:space="preserve">Python, JavaScript</t>
  </si>
  <si>
    <t xml:space="preserve">Vue.js 3.4.0</t>
  </si>
  <si>
    <t xml:space="preserve">Django 4.2.7</t>
  </si>
  <si>
    <t xml:space="preserve">PostgreSQL 14.9</t>
  </si>
  <si>
    <t xml:space="preserve">Celery / RabbitMQ</t>
  </si>
  <si>
    <t xml:space="preserve">GCP</t>
  </si>
  <si>
    <t xml:space="preserve">Docker / GKE</t>
  </si>
  <si>
    <t xml:space="preserve">Cloud Build</t>
  </si>
  <si>
    <t xml:space="preserve">Prometheus/Grafana</t>
  </si>
  <si>
    <t xml:space="preserve">ELK Stack</t>
  </si>
  <si>
    <t xml:space="preserve">Google OAuth</t>
  </si>
  <si>
    <t xml:space="preserve">BigQuery, Pub/Sub</t>
  </si>
  <si>
    <t xml:space="preserve">Java 17, Kotlin</t>
  </si>
  <si>
    <t xml:space="preserve">Spring Boot 3.2.0</t>
  </si>
  <si>
    <t xml:space="preserve">Oracle 19c</t>
  </si>
  <si>
    <t xml:space="preserve">Kafka 3.6</t>
  </si>
  <si>
    <t xml:space="preserve">Docker / EKS</t>
  </si>
  <si>
    <t xml:space="preserve">New Relic</t>
  </si>
  <si>
    <t xml:space="preserve">Splunk</t>
  </si>
  <si>
    <t xml:space="preserve">Okta</t>
  </si>
  <si>
    <t xml:space="preserve">SQS, Secrets Manager</t>
  </si>
  <si>
    <t xml:space="preserve">Go 1.21, Python</t>
  </si>
  <si>
    <t xml:space="preserve">Gin 1.9.1 / FastAPI 0.104</t>
  </si>
  <si>
    <t xml:space="preserve">MongoDB 7.0</t>
  </si>
  <si>
    <t xml:space="preserve">Firebase Auth</t>
  </si>
  <si>
    <t xml:space="preserve">S3, SNS</t>
  </si>
  <si>
    <t xml:space="preserve">Python 3.11, SQL</t>
  </si>
  <si>
    <t xml:space="preserve">Apache Airflow 2.8</t>
  </si>
  <si>
    <t xml:space="preserve">Snowflake</t>
  </si>
  <si>
    <t xml:space="preserve">Apache Kafka</t>
  </si>
  <si>
    <t xml:space="preserve">Docker / MWAA</t>
  </si>
  <si>
    <t xml:space="preserve">Airflow DAGs</t>
  </si>
  <si>
    <t xml:space="preserve">CloudWatch Logs</t>
  </si>
  <si>
    <t xml:space="preserve">IAM Roles</t>
  </si>
  <si>
    <t xml:space="preserve">Glue, Redshift, S3</t>
  </si>
  <si>
    <t xml:space="preserve">Dep ID</t>
  </si>
  <si>
    <t xml:space="preserve">Package Name</t>
  </si>
  <si>
    <t xml:space="preserve">Latest Stable</t>
  </si>
  <si>
    <t xml:space="preserve">Latest Version</t>
  </si>
  <si>
    <t xml:space="preserve">Versions Behind</t>
  </si>
  <si>
    <t xml:space="preserve">Update Status</t>
  </si>
  <si>
    <t xml:space="preserve">Known CVEs</t>
  </si>
  <si>
    <t xml:space="preserve">CVSS High</t>
  </si>
  <si>
    <t xml:space="preserve">Used In Projects</t>
  </si>
  <si>
    <t xml:space="preserve">Direct/Transitive</t>
  </si>
  <si>
    <t xml:space="preserve">License</t>
  </si>
  <si>
    <t xml:space="preserve">License Risk</t>
  </si>
  <si>
    <t xml:space="preserve">Registry</t>
  </si>
  <si>
    <t xml:space="preserve">Last Checked</t>
  </si>
  <si>
    <t xml:space="preserve">Update Priority</t>
  </si>
  <si>
    <t xml:space="preserve">Breaking Changes</t>
  </si>
  <si>
    <t xml:space="preserve">Migration Notes</t>
  </si>
  <si>
    <t xml:space="preserve">DEP-001</t>
  </si>
  <si>
    <t xml:space="preserve">npm</t>
  </si>
  <si>
    <t xml:space="preserve">4.17.21</t>
  </si>
  <si>
    <t xml:space="preserve">PROJ-001,PROJ-002</t>
  </si>
  <si>
    <t xml:space="preserve">Direct</t>
  </si>
  <si>
    <t xml:space="preserve">MIT</t>
  </si>
  <si>
    <t xml:space="preserve">Low</t>
  </si>
  <si>
    <t xml:space="preserve">npmjs.com</t>
  </si>
  <si>
    <t xml:space="preserve">Minor version bump only</t>
  </si>
  <si>
    <t xml:space="preserve">Frontend Team</t>
  </si>
  <si>
    <t xml:space="preserve">DEP-002</t>
  </si>
  <si>
    <t xml:space="preserve">PROJ-001,PROJ-004</t>
  </si>
  <si>
    <t xml:space="preserve">Security patch for path traversal</t>
  </si>
  <si>
    <t xml:space="preserve">Backend Team</t>
  </si>
  <si>
    <t xml:space="preserve">DEP-003</t>
  </si>
  <si>
    <t xml:space="preserve">react</t>
  </si>
  <si>
    <t xml:space="preserve">None</t>
  </si>
  <si>
    <t xml:space="preserve">DEP-004</t>
  </si>
  <si>
    <t xml:space="preserve">log4j-core</t>
  </si>
  <si>
    <t xml:space="preserve">maven</t>
  </si>
  <si>
    <t xml:space="preserve">2.17.1</t>
  </si>
  <si>
    <t xml:space="preserve">2.23.1</t>
  </si>
  <si>
    <t xml:space="preserve">Apache-2.0</t>
  </si>
  <si>
    <t xml:space="preserve">maven-central</t>
  </si>
  <si>
    <t xml:space="preserve">Log4Shell patches, API changes in 2.20+</t>
  </si>
  <si>
    <t xml:space="preserve">DEP-005</t>
  </si>
  <si>
    <t xml:space="preserve">spring-boot-starter</t>
  </si>
  <si>
    <t xml:space="preserve">3.2.0</t>
  </si>
  <si>
    <t xml:space="preserve">Java 17 required, Jakarta EE migration</t>
  </si>
  <si>
    <t xml:space="preserve">DEP-006</t>
  </si>
  <si>
    <t xml:space="preserve">moment</t>
  </si>
  <si>
    <t xml:space="preserve">2.30.1</t>
  </si>
  <si>
    <t xml:space="preserve">PROJ-001,PROJ-002,PROJ-004</t>
  </si>
  <si>
    <t xml:space="preserve">Project in maintenance mode, consider dayjs</t>
  </si>
  <si>
    <t xml:space="preserve">DEP-007</t>
  </si>
  <si>
    <t xml:space="preserve">DEP-008</t>
  </si>
  <si>
    <t xml:space="preserve">django</t>
  </si>
  <si>
    <t xml:space="preserve">pypi</t>
  </si>
  <si>
    <t xml:space="preserve">5.0.0</t>
  </si>
  <si>
    <t xml:space="preserve">BSD-3</t>
  </si>
  <si>
    <t xml:space="preserve">pypi.org</t>
  </si>
  <si>
    <t xml:space="preserve">Django 5 available but breaking changes</t>
  </si>
  <si>
    <t xml:space="preserve">DEP-009</t>
  </si>
  <si>
    <t xml:space="preserve">psycopg2</t>
  </si>
  <si>
    <t xml:space="preserve">2.9.9</t>
  </si>
  <si>
    <t xml:space="preserve">PROJ-002,PROJ-005</t>
  </si>
  <si>
    <t xml:space="preserve">LGPL</t>
  </si>
  <si>
    <t xml:space="preserve">DEP-010</t>
  </si>
  <si>
    <t xml:space="preserve">requests</t>
  </si>
  <si>
    <t xml:space="preserve">2.28.0</t>
  </si>
  <si>
    <t xml:space="preserve">2.31.0</t>
  </si>
  <si>
    <t xml:space="preserve">SSL verification fix</t>
  </si>
  <si>
    <t xml:space="preserve">DEP-011</t>
  </si>
  <si>
    <t xml:space="preserve">gin</t>
  </si>
  <si>
    <t xml:space="preserve">go</t>
  </si>
  <si>
    <t xml:space="preserve">1.9.1</t>
  </si>
  <si>
    <t xml:space="preserve">pkg.go.dev</t>
  </si>
  <si>
    <t xml:space="preserve">DEP-012</t>
  </si>
  <si>
    <t xml:space="preserve">jackson-databind</t>
  </si>
  <si>
    <t xml:space="preserve">2.15.3</t>
  </si>
  <si>
    <t xml:space="preserve">2.16.0</t>
  </si>
  <si>
    <t xml:space="preserve">Transitive</t>
  </si>
  <si>
    <t xml:space="preserve">Deserialization CVEs</t>
  </si>
  <si>
    <t xml:space="preserve">FW ID</t>
  </si>
  <si>
    <t xml:space="preserve">Framework Name</t>
  </si>
  <si>
    <t xml:space="preserve">Category</t>
  </si>
  <si>
    <t xml:space="preserve">EOL Date</t>
  </si>
  <si>
    <t xml:space="preserve">LTS Until</t>
  </si>
  <si>
    <t xml:space="preserve">Migration Complexity</t>
  </si>
  <si>
    <t xml:space="preserve">Upgrade Path</t>
  </si>
  <si>
    <t xml:space="preserve">FW-001</t>
  </si>
  <si>
    <t xml:space="preserve">Frontend</t>
  </si>
  <si>
    <t xml:space="preserve">Latest stable</t>
  </si>
  <si>
    <t xml:space="preserve">FW-002</t>
  </si>
  <si>
    <t xml:space="preserve">Vue.js</t>
  </si>
  <si>
    <t xml:space="preserve">3.4.0</t>
  </si>
  <si>
    <t xml:space="preserve">3.4.15</t>
  </si>
  <si>
    <t xml:space="preserve">3.4.0 -&gt; 3.4.15</t>
  </si>
  <si>
    <t xml:space="preserve">Minor update available</t>
  </si>
  <si>
    <t xml:space="preserve">FW-003</t>
  </si>
  <si>
    <t xml:space="preserve">Runtime</t>
  </si>
  <si>
    <t xml:space="preserve">20.10.0</t>
  </si>
  <si>
    <t xml:space="preserve">21.4.0</t>
  </si>
  <si>
    <t xml:space="preserve">2026-04-30</t>
  </si>
  <si>
    <t xml:space="preserve">LTS version</t>
  </si>
  <si>
    <t xml:space="preserve">FW-004</t>
  </si>
  <si>
    <t xml:space="preserve">Backend</t>
  </si>
  <si>
    <t xml:space="preserve">2023-11-24</t>
  </si>
  <si>
    <t xml:space="preserve">2.7 -&gt; 3.0 -&gt; 3.1 -&gt; 3.2</t>
  </si>
  <si>
    <t xml:space="preserve">EOL, migrate to 3.x</t>
  </si>
  <si>
    <t xml:space="preserve">FW-005</t>
  </si>
  <si>
    <t xml:space="preserve">2026-04-01</t>
  </si>
  <si>
    <t xml:space="preserve">LTS version, 5.0 available</t>
  </si>
  <si>
    <t xml:space="preserve">FW-006</t>
  </si>
  <si>
    <t xml:space="preserve">Express.js</t>
  </si>
  <si>
    <t xml:space="preserve">FW-007</t>
  </si>
  <si>
    <t xml:space="preserve">FastAPI</t>
  </si>
  <si>
    <t xml:space="preserve">0.104.0</t>
  </si>
  <si>
    <t xml:space="preserve">0.104.1</t>
  </si>
  <si>
    <t xml:space="preserve">0.104.0 -&gt; 0.104.1</t>
  </si>
  <si>
    <t xml:space="preserve">Patch update</t>
  </si>
  <si>
    <t xml:space="preserve">FW-008</t>
  </si>
  <si>
    <t xml:space="preserve">Apache Airflow</t>
  </si>
  <si>
    <t xml:space="preserve">2.8.0</t>
  </si>
  <si>
    <t xml:space="preserve">Monitor CVE-2024-XXXX</t>
  </si>
  <si>
    <t xml:space="preserve">FW-009</t>
  </si>
  <si>
    <t xml:space="preserve">15.4</t>
  </si>
  <si>
    <t xml:space="preserve">15.5</t>
  </si>
  <si>
    <t xml:space="preserve">16.1</t>
  </si>
  <si>
    <t xml:space="preserve">2027-11-11</t>
  </si>
  <si>
    <t xml:space="preserve">15.4 -&gt; 15.5</t>
  </si>
  <si>
    <t xml:space="preserve">Patch available</t>
  </si>
  <si>
    <t xml:space="preserve">FW-010</t>
  </si>
  <si>
    <t xml:space="preserve">MongoDB</t>
  </si>
  <si>
    <t xml:space="preserve">7.0.0</t>
  </si>
  <si>
    <t xml:space="preserve">7.0.4</t>
  </si>
  <si>
    <t xml:space="preserve">7.0.0 -&gt; 7.0.4</t>
  </si>
  <si>
    <t xml:space="preserve">Security patches</t>
  </si>
  <si>
    <t xml:space="preserve">Watch ID</t>
  </si>
  <si>
    <t xml:space="preserve">CVE ID</t>
  </si>
  <si>
    <t xml:space="preserve">Title</t>
  </si>
  <si>
    <t xml:space="preserve">CVSS Score</t>
  </si>
  <si>
    <t xml:space="preserve">CVSS Vector</t>
  </si>
  <si>
    <t xml:space="preserve">Affected Component</t>
  </si>
  <si>
    <t xml:space="preserve">Affected Versions</t>
  </si>
  <si>
    <t xml:space="preserve">Our Version</t>
  </si>
  <si>
    <t xml:space="preserve">We Are Affected</t>
  </si>
  <si>
    <t xml:space="preserve">Exploit Available</t>
  </si>
  <si>
    <t xml:space="preserve">CISA KEV</t>
  </si>
  <si>
    <t xml:space="preserve">EPSS Score</t>
  </si>
  <si>
    <t xml:space="preserve">Patch Available</t>
  </si>
  <si>
    <t xml:space="preserve">Patch Version</t>
  </si>
  <si>
    <t xml:space="preserve">Discovery Date</t>
  </si>
  <si>
    <t xml:space="preserve">Remediation Due</t>
  </si>
  <si>
    <t xml:space="preserve">Remediation Plan</t>
  </si>
  <si>
    <t xml:space="preserve">Assigned To</t>
  </si>
  <si>
    <t xml:space="preserve">VW-001</t>
  </si>
  <si>
    <t xml:space="preserve">CVE-2024-21762</t>
  </si>
  <si>
    <t xml:space="preserve">FortiOS SSL VPN RCE</t>
  </si>
  <si>
    <t xml:space="preserve">Out-of-bounds write allows remote code execution</t>
  </si>
  <si>
    <t xml:space="preserve">CVSS:3.1/AV:N/AC:L/PR:N/UI:N/S:U/C:H/I:H/A:H</t>
  </si>
  <si>
    <t xml:space="preserve">FortiOS</t>
  </si>
  <si>
    <t xml:space="preserve">&lt;7.4.2, &lt;7.2.6</t>
  </si>
  <si>
    <t xml:space="preserve">N/A</t>
  </si>
  <si>
    <t xml:space="preserve">7.4.2, 7.2.6</t>
  </si>
  <si>
    <t xml:space="preserve">2024-02-08</t>
  </si>
  <si>
    <t xml:space="preserve">Not Applicable</t>
  </si>
  <si>
    <t xml:space="preserve">We do not use FortiGate</t>
  </si>
  <si>
    <t xml:space="preserve">VW-002</t>
  </si>
  <si>
    <t xml:space="preserve">CVE-2024-3400</t>
  </si>
  <si>
    <t xml:space="preserve">PAN-OS GlobalProtect RCE</t>
  </si>
  <si>
    <t xml:space="preserve">Command injection in GlobalProtect</t>
  </si>
  <si>
    <t xml:space="preserve">CVSS:3.1/AV:N/AC:L/PR:N/UI:N/S:C/C:H/I:H/A:H</t>
  </si>
  <si>
    <t xml:space="preserve">PAN-OS</t>
  </si>
  <si>
    <t xml:space="preserve">&lt;11.1.2-h3, &lt;11.0.4-h1</t>
  </si>
  <si>
    <t xml:space="preserve">11.1.2-h3</t>
  </si>
  <si>
    <t xml:space="preserve">2024-04-12</t>
  </si>
  <si>
    <t xml:space="preserve">We do not use Palo Alto</t>
  </si>
  <si>
    <t xml:space="preserve">VW-003</t>
  </si>
  <si>
    <t xml:space="preserve">CVE-2021-44228</t>
  </si>
  <si>
    <t xml:space="preserve">Log4Shell</t>
  </si>
  <si>
    <t xml:space="preserve">Remote code execution in Log4j JNDI lookup</t>
  </si>
  <si>
    <t xml:space="preserve">&lt;2.17.0</t>
  </si>
  <si>
    <t xml:space="preserve">2.17.1+</t>
  </si>
  <si>
    <t xml:space="preserve">2021-12-09</t>
  </si>
  <si>
    <t xml:space="preserve">Resolved</t>
  </si>
  <si>
    <t xml:space="preserve">Upgraded to 2.17.1</t>
  </si>
  <si>
    <t xml:space="preserve">Patched in Dec 2021</t>
  </si>
  <si>
    <t xml:space="preserve">VW-004</t>
  </si>
  <si>
    <t xml:space="preserve">CVE-2024-29944</t>
  </si>
  <si>
    <t xml:space="preserve">Spring Security Bypass</t>
  </si>
  <si>
    <t xml:space="preserve">Authorization bypass via path matching</t>
  </si>
  <si>
    <t xml:space="preserve">CVSS:3.1/AV:N/AC:L/PR:L/UI:N/S:U/C:H/I:H/A:N</t>
  </si>
  <si>
    <t xml:space="preserve">spring-security</t>
  </si>
  <si>
    <t xml:space="preserve">&lt;6.2.3, &lt;6.1.7</t>
  </si>
  <si>
    <t xml:space="preserve">5.7.x</t>
  </si>
  <si>
    <t xml:space="preserve">6.2.3, 6.1.7</t>
  </si>
  <si>
    <t xml:space="preserve">2024-03-18</t>
  </si>
  <si>
    <t xml:space="preserve">In Progress</t>
  </si>
  <si>
    <t xml:space="preserve">2024-11-30</t>
  </si>
  <si>
    <t xml:space="preserve">Upgrade Spring Boot to 3.x</t>
  </si>
  <si>
    <t xml:space="preserve">Part of Spring Boot 3 migration</t>
  </si>
  <si>
    <t xml:space="preserve">VW-005</t>
  </si>
  <si>
    <t xml:space="preserve">CVE-2024-27318</t>
  </si>
  <si>
    <t xml:space="preserve">Lodash Prototype Pollution</t>
  </si>
  <si>
    <t xml:space="preserve">Prototype pollution via set/setWith</t>
  </si>
  <si>
    <t xml:space="preserve">CVSS:3.1/AV:N/AC:L/PR:N/UI:N/S:U/C:N/I:H/A:N</t>
  </si>
  <si>
    <t xml:space="preserve">&lt;4.17.21</t>
  </si>
  <si>
    <t xml:space="preserve">2024-01-15</t>
  </si>
  <si>
    <t xml:space="preserve">Open</t>
  </si>
  <si>
    <t xml:space="preserve">Update lodash across projects</t>
  </si>
  <si>
    <t xml:space="preserve">Automated PR pending review</t>
  </si>
  <si>
    <t xml:space="preserve">VW-006</t>
  </si>
  <si>
    <t xml:space="preserve">CVE-2024-21538</t>
  </si>
  <si>
    <t xml:space="preserve">Jackson Deserialization</t>
  </si>
  <si>
    <t xml:space="preserve">Unsafe deserialization in Jackson</t>
  </si>
  <si>
    <t xml:space="preserve">&lt;2.15.3</t>
  </si>
  <si>
    <t xml:space="preserve">2.15.3+</t>
  </si>
  <si>
    <t xml:space="preserve">2024-01-22</t>
  </si>
  <si>
    <t xml:space="preserve">Upgraded to 2.15.3</t>
  </si>
  <si>
    <t xml:space="preserve">VW-007</t>
  </si>
  <si>
    <t xml:space="preserve">CVE-2024-30172</t>
  </si>
  <si>
    <t xml:space="preserve">Moment.js ReDoS</t>
  </si>
  <si>
    <t xml:space="preserve">Regular expression denial of service</t>
  </si>
  <si>
    <t xml:space="preserve">CVSS:3.1/AV:N/AC:L/PR:N/UI:N/S:U/C:N/I:N/A:L</t>
  </si>
  <si>
    <t xml:space="preserve">&lt;2.29.4</t>
  </si>
  <si>
    <t xml:space="preserve">2024-02-05</t>
  </si>
  <si>
    <t xml:space="preserve">Already on patched version</t>
  </si>
  <si>
    <t xml:space="preserve">But consider migration anyway</t>
  </si>
  <si>
    <t xml:space="preserve">VW-008</t>
  </si>
  <si>
    <t xml:space="preserve">CVE-2024-PENDING</t>
  </si>
  <si>
    <t xml:space="preserve">Node.js HTTP/2 DoS</t>
  </si>
  <si>
    <t xml:space="preserve">Memory exhaustion via HTTP/2 CONTINUATION</t>
  </si>
  <si>
    <t xml:space="preserve">CVSS:3.1/AV:N/AC:L/PR:N/UI:N/S:U/C:N/I:N/A:H</t>
  </si>
  <si>
    <t xml:space="preserve">&lt;20.12.0, &lt;21.7.0</t>
  </si>
  <si>
    <t xml:space="preserve">20.12.0</t>
  </si>
  <si>
    <t xml:space="preserve">2024-04-03</t>
  </si>
  <si>
    <t xml:space="preserve">2024-11-20</t>
  </si>
  <si>
    <t xml:space="preserve">Schedule Node.js update</t>
  </si>
  <si>
    <t xml:space="preserve">DevOps Team</t>
  </si>
  <si>
    <t xml:space="preserve">Coordinate with deployment</t>
  </si>
  <si>
    <t xml:space="preserve">📊 DEPENDENCY VERSION MATRIX BY PROJECT</t>
  </si>
  <si>
    <t xml:space="preserve">Latest</t>
  </si>
  <si>
    <t xml:space="preserve">Variance</t>
  </si>
  <si>
    <t xml:space="preserve">Risk</t>
  </si>
  <si>
    <t xml:space="preserve">3 CVEs in older version</t>
  </si>
  <si>
    <t xml:space="preserve">1.5.0</t>
  </si>
  <si>
    <t xml:space="preserve">Minor version gap</t>
  </si>
  <si>
    <t xml:space="preserve">Security patch</t>
  </si>
  <si>
    <t xml:space="preserve">vue</t>
  </si>
  <si>
    <t xml:space="preserve">Minor update</t>
  </si>
  <si>
    <t xml:space="preserve">spring-boot</t>
  </si>
  <si>
    <t xml:space="preserve">Major version behind</t>
  </si>
  <si>
    <t xml:space="preserve">Security updates</t>
  </si>
  <si>
    <t xml:space="preserve">fastapi</t>
  </si>
  <si>
    <t xml:space="preserve">airflow</t>
  </si>
  <si>
    <t xml:space="preserve">runtime</t>
  </si>
  <si>
    <t xml:space="preserve">LTS</t>
  </si>
  <si>
    <t xml:space="preserve">Python</t>
  </si>
  <si>
    <t xml:space="preserve">3.12.0</t>
  </si>
  <si>
    <t xml:space="preserve">3.11.6</t>
  </si>
  <si>
    <t xml:space="preserve">3.12 available</t>
  </si>
  <si>
    <t xml:space="preserve">Java</t>
  </si>
  <si>
    <t xml:space="preserve">21</t>
  </si>
  <si>
    <t xml:space="preserve">17</t>
  </si>
  <si>
    <t xml:space="preserve">LTS version OK</t>
  </si>
  <si>
    <t xml:space="preserve">database</t>
  </si>
  <si>
    <t xml:space="preserve">14.9</t>
  </si>
  <si>
    <t xml:space="preserve">Major versions vary</t>
  </si>
  <si>
    <t xml:space="preserve">Log ID</t>
  </si>
  <si>
    <t xml:space="preserve">From Version</t>
  </si>
  <si>
    <t xml:space="preserve">To Version</t>
  </si>
  <si>
    <t xml:space="preserve">Change Type</t>
  </si>
  <si>
    <t xml:space="preserve">Testing Status</t>
  </si>
  <si>
    <t xml:space="preserve">Deployed To</t>
  </si>
  <si>
    <t xml:space="preserve">PR/Ticket</t>
  </si>
  <si>
    <t xml:space="preserve">Rollback Plan</t>
  </si>
  <si>
    <t xml:space="preserve">LOG-001</t>
  </si>
  <si>
    <t xml:space="preserve">Patch</t>
  </si>
  <si>
    <t xml:space="preserve">Passed</t>
  </si>
  <si>
    <t xml:space="preserve">PR-1234</t>
  </si>
  <si>
    <t xml:space="preserve">Revert PR-1234</t>
  </si>
  <si>
    <t xml:space="preserve">Security fix for path traversal</t>
  </si>
  <si>
    <t xml:space="preserve">LOG-002</t>
  </si>
  <si>
    <t xml:space="preserve">Major</t>
  </si>
  <si>
    <t xml:space="preserve">PR-1230</t>
  </si>
  <si>
    <t xml:space="preserve">Feature flag rollback</t>
  </si>
  <si>
    <t xml:space="preserve">Concurrent rendering migration</t>
  </si>
  <si>
    <t xml:space="preserve">LOG-003</t>
  </si>
  <si>
    <t xml:space="preserve">Minor</t>
  </si>
  <si>
    <t xml:space="preserve">PR-1225</t>
  </si>
  <si>
    <t xml:space="preserve">Revert to 4.1.0</t>
  </si>
  <si>
    <t xml:space="preserve">LTS upgrade</t>
  </si>
  <si>
    <t xml:space="preserve">LOG-004</t>
  </si>
  <si>
    <t xml:space="preserve">PR-1220</t>
  </si>
  <si>
    <t xml:space="preserve">npm install axios@1.4.0</t>
  </si>
  <si>
    <t xml:space="preserve">Automated via Dependabot</t>
  </si>
  <si>
    <t xml:space="preserve">LOG-005</t>
  </si>
  <si>
    <t xml:space="preserve">2024-11-10</t>
  </si>
  <si>
    <t xml:space="preserve">2.14.0</t>
  </si>
  <si>
    <t xml:space="preserve">lwang</t>
  </si>
  <si>
    <t xml:space="preserve">JIRA-5678</t>
  </si>
  <si>
    <t xml:space="preserve">Rollback POM version</t>
  </si>
  <si>
    <t xml:space="preserve">CVE remediation</t>
  </si>
  <si>
    <t xml:space="preserve">LOG-006</t>
  </si>
  <si>
    <t xml:space="preserve">2024-11-08</t>
  </si>
  <si>
    <t xml:space="preserve">1.9.0</t>
  </si>
  <si>
    <t xml:space="preserve">Staging</t>
  </si>
  <si>
    <t xml:space="preserve">tbrown</t>
  </si>
  <si>
    <t xml:space="preserve">PR-1215</t>
  </si>
  <si>
    <t xml:space="preserve">go mod tidy</t>
  </si>
  <si>
    <t xml:space="preserve">Minor bug fixes</t>
  </si>
  <si>
    <t xml:space="preserve">⚙️ REFERENCE DATA &amp; DEFINITIONS</t>
  </si>
  <si>
    <t xml:space="preserve">SEVERITY LEVELS</t>
  </si>
  <si>
    <t xml:space="preserve">USEFUL RESOURCES</t>
  </si>
  <si>
    <t xml:space="preserve">CVSS Range</t>
  </si>
  <si>
    <t xml:space="preserve">SLA (Days)</t>
  </si>
  <si>
    <t xml:space="preserve">Color</t>
  </si>
  <si>
    <t xml:space="preserve">NVD</t>
  </si>
  <si>
    <t xml:space="preserve">https://nvd.nist.gov/</t>
  </si>
  <si>
    <t xml:space="preserve">9.0 - 10.0</t>
  </si>
  <si>
    <t xml:space="preserve">1-3</t>
  </si>
  <si>
    <t xml:space="preserve">https://www.cisa.gov/known-exploited-vulnerabilities-catalog</t>
  </si>
  <si>
    <t xml:space="preserve">7.0 - 8.9</t>
  </si>
  <si>
    <t xml:space="preserve">7</t>
  </si>
  <si>
    <t xml:space="preserve">EPSS</t>
  </si>
  <si>
    <t xml:space="preserve">https://www.first.org/epss/</t>
  </si>
  <si>
    <t xml:space="preserve">4.0 - 6.9</t>
  </si>
  <si>
    <t xml:space="preserve">30</t>
  </si>
  <si>
    <t xml:space="preserve">Snyk Vuln DB</t>
  </si>
  <si>
    <t xml:space="preserve">https://security.snyk.io/</t>
  </si>
  <si>
    <t xml:space="preserve">0.1 - 3.9</t>
  </si>
  <si>
    <t xml:space="preserve">90</t>
  </si>
  <si>
    <t xml:space="preserve">GitHub Advisory</t>
  </si>
  <si>
    <t xml:space="preserve">https://github.com/advisories</t>
  </si>
  <si>
    <t xml:space="preserve">Informational</t>
  </si>
  <si>
    <t xml:space="preserve">0.0</t>
  </si>
  <si>
    <t xml:space="preserve">Best Effort</t>
  </si>
  <si>
    <t xml:space="preserve">OSV</t>
  </si>
  <si>
    <t xml:space="preserve">https://osv.dev/</t>
  </si>
  <si>
    <t xml:space="preserve">MITRE CVE</t>
  </si>
  <si>
    <t xml:space="preserve">https://cve.mitre.org/</t>
  </si>
  <si>
    <t xml:space="preserve">UPDATE STATUS</t>
  </si>
  <si>
    <t xml:space="preserve">On latest stable version</t>
  </si>
  <si>
    <t xml:space="preserve">None - monitor</t>
  </si>
  <si>
    <t xml:space="preserve">Behind by minor/patch versions</t>
  </si>
  <si>
    <t xml:space="preserve">Schedule update</t>
  </si>
  <si>
    <t xml:space="preserve">Major security vulnerabilities</t>
  </si>
  <si>
    <t xml:space="preserve">Immediate action</t>
  </si>
  <si>
    <t xml:space="preserve">Unknown</t>
  </si>
  <si>
    <t xml:space="preserve">Version not tracked</t>
  </si>
  <si>
    <t xml:space="preserve">Investigate</t>
  </si>
  <si>
    <t xml:space="preserve">PACKAGE REGISTRIES</t>
  </si>
  <si>
    <t xml:space="preserve">Language/Platform</t>
  </si>
  <si>
    <t xml:space="preserve">JavaScript/Node.js</t>
  </si>
  <si>
    <t xml:space="preserve">Maven Central</t>
  </si>
  <si>
    <t xml:space="preserve">Java/Kotlin</t>
  </si>
  <si>
    <t xml:space="preserve">Go</t>
  </si>
  <si>
    <t xml:space="preserve">nuget</t>
  </si>
  <si>
    <t xml:space="preserve">nuget.org</t>
  </si>
  <si>
    <t xml:space="preserve">.NET/C#</t>
  </si>
  <si>
    <t xml:space="preserve">cargo</t>
  </si>
  <si>
    <t xml:space="preserve">crates.io</t>
  </si>
  <si>
    <t xml:space="preserve">Rust</t>
  </si>
  <si>
    <t xml:space="preserve">gem</t>
  </si>
  <si>
    <t xml:space="preserve">rubygems.org</t>
  </si>
  <si>
    <t xml:space="preserve">Ruby</t>
  </si>
  <si>
    <t xml:space="preserve">composer</t>
  </si>
  <si>
    <t xml:space="preserve">packagist.org</t>
  </si>
  <si>
    <t xml:space="preserve">PHP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</si>
</sst>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9"/>
      <color rgb="FF555555"/>
      <name val="Cambria"/>
      <family val="0"/>
      <charset val="1"/>
    </font>
    <font>
      <b val="true"/>
      <sz val="28"/>
      <color rgb="FF3182CE"/>
      <name val="Cambria"/>
      <family val="0"/>
      <charset val="1"/>
    </font>
    <font>
      <b val="true"/>
      <sz val="28"/>
      <color rgb="FF38A169"/>
      <name val="Cambria"/>
      <family val="0"/>
      <charset val="1"/>
    </font>
    <font>
      <b val="true"/>
      <sz val="28"/>
      <color rgb="FF805AD5"/>
      <name val="Cambria"/>
      <family val="0"/>
      <charset val="1"/>
    </font>
    <font>
      <b val="true"/>
      <sz val="28"/>
      <color rgb="FF319795"/>
      <name val="Cambria"/>
      <family val="0"/>
      <charset val="1"/>
    </font>
    <font>
      <b val="true"/>
      <sz val="28"/>
      <color rgb="FF4299E1"/>
      <name val="Cambria"/>
      <family val="0"/>
      <charset val="1"/>
    </font>
    <font>
      <b val="true"/>
      <sz val="28"/>
      <color rgb="FFE53E3E"/>
      <name val="Cambria"/>
      <family val="0"/>
      <charset val="1"/>
    </font>
    <font>
      <b val="true"/>
      <sz val="28"/>
      <color rgb="FFED8936"/>
      <name val="Cambria"/>
      <family val="0"/>
      <charset val="1"/>
    </font>
    <font>
      <b val="true"/>
      <sz val="28"/>
      <color rgb="FFD69E2E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u val="single"/>
      <sz val="11"/>
      <color rgb="FF3182CE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838"/>
        <bgColor rgb="FF1E3A5F"/>
      </patternFill>
    </fill>
    <fill>
      <patternFill patternType="solid">
        <fgColor rgb="FF2C3E50"/>
        <bgColor rgb="FF1E3A5F"/>
      </patternFill>
    </fill>
    <fill>
      <patternFill patternType="solid">
        <fgColor rgb="FFF7F9FC"/>
        <bgColor rgb="FFFFFFFF"/>
      </patternFill>
    </fill>
    <fill>
      <patternFill patternType="solid">
        <fgColor rgb="FF1E3A5F"/>
        <bgColor rgb="FF2C3E50"/>
      </patternFill>
    </fill>
    <fill>
      <patternFill patternType="solid">
        <fgColor rgb="FFFFFFFF"/>
        <bgColor rgb="FFF7F9FC"/>
      </patternFill>
    </fill>
    <fill>
      <patternFill patternType="solid">
        <fgColor rgb="FFEDF2F7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6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E3A5F"/>
          <bgColor rgb="FF000000"/>
        </patternFill>
      </fill>
    </dxf>
    <dxf>
      <fill>
        <patternFill patternType="solid">
          <fgColor rgb="FFEDF2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53E3E"/>
          <bgColor rgb="FF000000"/>
        </patternFill>
      </fill>
    </dxf>
    <dxf>
      <fill>
        <patternFill patternType="solid">
          <fgColor rgb="FFED8936"/>
          <bgColor rgb="FF000000"/>
        </patternFill>
      </fill>
    </dxf>
    <dxf>
      <fill>
        <patternFill patternType="solid">
          <fgColor rgb="FF38A169"/>
          <bgColor rgb="FF000000"/>
        </patternFill>
      </fill>
    </dxf>
    <dxf>
      <fill>
        <patternFill patternType="solid">
          <fgColor rgb="FF9F6650"/>
          <bgColor rgb="FF000000"/>
        </patternFill>
      </fill>
    </dxf>
    <dxf>
      <fill>
        <patternFill>
          <bgColor rgb="FFE53E3E"/>
        </patternFill>
      </fill>
    </dxf>
    <dxf>
      <fill>
        <patternFill>
          <bgColor rgb="FFED8936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69E2E"/>
          <bgColor rgb="FF000000"/>
        </patternFill>
      </fill>
    </dxf>
    <dxf>
      <fill>
        <patternFill patternType="solid">
          <fgColor rgb="FFFEB2B2"/>
          <bgColor rgb="FF000000"/>
        </patternFill>
      </fill>
    </dxf>
    <dxf>
      <fill>
        <patternFill patternType="solid">
          <fgColor rgb="FF87A04C"/>
          <bgColor rgb="FF000000"/>
        </patternFill>
      </fill>
    </dxf>
    <dxf>
      <fill>
        <patternFill patternType="solid">
          <fgColor rgb="FFDB7E33"/>
          <bgColor rgb="FF000000"/>
        </patternFill>
      </fill>
    </dxf>
    <dxf>
      <fill>
        <patternFill patternType="solid">
          <fgColor rgb="FFE05E38"/>
          <bgColor rgb="FF000000"/>
        </patternFill>
      </fill>
    </dxf>
    <dxf>
      <fill>
        <patternFill>
          <bgColor rgb="FFD69E2E"/>
        </patternFill>
      </fill>
    </dxf>
    <dxf>
      <fill>
        <patternFill>
          <bgColor rgb="FF38A169"/>
        </patternFill>
      </fill>
    </dxf>
    <dxf>
      <fill>
        <patternFill>
          <bgColor rgb="FFFEB2B2"/>
        </patternFill>
      </fill>
    </dxf>
    <dxf>
      <fill>
        <patternFill patternType="solid">
          <fgColor rgb="FF5A8E61"/>
          <bgColor rgb="FF000000"/>
        </patternFill>
      </fill>
    </dxf>
    <dxf>
      <fill>
        <patternFill patternType="solid">
          <fgColor rgb="FFC25247"/>
          <bgColor rgb="FF000000"/>
        </patternFill>
      </fill>
    </dxf>
    <dxf>
      <fill>
        <patternFill patternType="solid">
          <fgColor rgb="FFECC94B"/>
          <bgColor rgb="FF000000"/>
        </patternFill>
      </fill>
    </dxf>
    <dxf>
      <fill>
        <patternFill>
          <bgColor rgb="FFECC94B"/>
        </patternFill>
      </fill>
    </dxf>
    <dxf>
      <fill>
        <patternFill>
          <bgColor rgb="FF48BB7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19795"/>
      <rgbColor rgb="FFC0C0C0"/>
      <rgbColor rgb="FF805AD5"/>
      <rgbColor rgb="FF4299E1"/>
      <rgbColor rgb="FFD53F8C"/>
      <rgbColor rgb="FFF7F9FC"/>
      <rgbColor rgb="FFEDF2F7"/>
      <rgbColor rgb="FF660066"/>
      <rgbColor rgb="FFD69E2E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EB2B2"/>
      <rgbColor rgb="FFCC99FF"/>
      <rgbColor rgb="FFFFCC99"/>
      <rgbColor rgb="FF3182CE"/>
      <rgbColor rgb="FF48BB78"/>
      <rgbColor rgb="FF99CC00"/>
      <rgbColor rgb="FFECC94B"/>
      <rgbColor rgb="FFED8936"/>
      <rgbColor rgb="FFE53E3E"/>
      <rgbColor rgb="FF666666"/>
      <rgbColor rgb="FF969696"/>
      <rgbColor rgb="FF1E3A5F"/>
      <rgbColor rgb="FF38A169"/>
      <rgbColor rgb="FF003300"/>
      <rgbColor rgb="FF1B2838"/>
      <rgbColor rgb="FF993300"/>
      <rgbColor rgb="FF993366"/>
      <rgbColor rgb="FF55555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82CE"/>
    <pageSetUpPr fitToPage="false"/>
  </sheetPr>
  <dimension ref="A1:P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25"/>
    <col collapsed="false" customWidth="true" hidden="false" outlineLevel="0" max="7" min="7" style="0" width="30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3" min="12" style="0" width="14"/>
    <col collapsed="false" customWidth="true" hidden="false" outlineLevel="0" max="14" min="14" style="0" width="12"/>
    <col collapsed="false" customWidth="true" hidden="false" outlineLevel="0" max="16" min="15" style="0" width="10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 t="s">
        <v>3</v>
      </c>
      <c r="J4" s="3"/>
      <c r="K4" s="3"/>
      <c r="L4" s="3"/>
      <c r="M4" s="3"/>
      <c r="N4" s="3"/>
      <c r="O4" s="3"/>
      <c r="P4" s="3"/>
    </row>
    <row r="6" customFormat="false" ht="15" hidden="false" customHeight="false" outlineLevel="0" collapsed="false">
      <c r="A6" s="4" t="s">
        <v>4</v>
      </c>
      <c r="B6" s="4"/>
      <c r="C6" s="4" t="s">
        <v>5</v>
      </c>
      <c r="D6" s="4"/>
      <c r="E6" s="4" t="s">
        <v>6</v>
      </c>
      <c r="F6" s="4"/>
      <c r="G6" s="4" t="s">
        <v>7</v>
      </c>
      <c r="H6" s="4"/>
      <c r="I6" s="4" t="s">
        <v>8</v>
      </c>
      <c r="J6" s="4"/>
      <c r="K6" s="4" t="s">
        <v>9</v>
      </c>
      <c r="L6" s="4"/>
      <c r="M6" s="4" t="s">
        <v>10</v>
      </c>
      <c r="N6" s="4"/>
      <c r="O6" s="4" t="s">
        <v>11</v>
      </c>
      <c r="P6" s="4"/>
    </row>
    <row r="7" customFormat="false" ht="33.85" hidden="false" customHeight="false" outlineLevel="0" collapsed="false">
      <c r="A7" s="5" t="n">
        <f aca="false">COUNTA(Projects!A:A)-1</f>
        <v>5</v>
      </c>
      <c r="B7" s="5"/>
      <c r="C7" s="6" t="n">
        <f aca="false">COUNTIF(Projects!G:G,"Active")</f>
        <v>5</v>
      </c>
      <c r="D7" s="6"/>
      <c r="E7" s="7" t="n">
        <f aca="false">COUNTA(Dependencies!A:A)-1</f>
        <v>12</v>
      </c>
      <c r="F7" s="7"/>
      <c r="G7" s="8" t="n">
        <f aca="false">COUNTA(Frameworks!A:A)-1</f>
        <v>10</v>
      </c>
      <c r="H7" s="8"/>
      <c r="I7" s="9" t="n">
        <f aca="false">COUNTA(VulnWatch!A:A)-1</f>
        <v>8</v>
      </c>
      <c r="J7" s="9"/>
      <c r="K7" s="10" t="n">
        <f aca="false">COUNTIF(VulnWatch!E:E,"Critical")</f>
        <v>3</v>
      </c>
      <c r="L7" s="10"/>
      <c r="M7" s="11" t="n">
        <f aca="false">COUNTIF(VulnWatch!E:E,"High")</f>
        <v>4</v>
      </c>
      <c r="N7" s="11"/>
      <c r="O7" s="12" t="n">
        <f aca="false">SUMPRODUCT((VulnWatch!G:G&lt;&gt;"")*1)-1</f>
        <v>8</v>
      </c>
      <c r="P7" s="12"/>
    </row>
    <row r="9" customFormat="false" ht="27.75" hidden="false" customHeight="true" outlineLevel="0" collapsed="false">
      <c r="A9" s="3" t="s">
        <v>12</v>
      </c>
      <c r="B9" s="3"/>
      <c r="C9" s="3"/>
      <c r="D9" s="3"/>
      <c r="E9" s="3"/>
      <c r="F9" s="3"/>
      <c r="G9" s="3"/>
      <c r="H9" s="3"/>
      <c r="I9" s="3" t="s">
        <v>13</v>
      </c>
      <c r="J9" s="3"/>
      <c r="K9" s="3"/>
      <c r="L9" s="3"/>
      <c r="M9" s="3"/>
      <c r="N9" s="3"/>
      <c r="O9" s="3"/>
      <c r="P9" s="3"/>
    </row>
    <row r="11" customFormat="false" ht="15" hidden="false" customHeight="false" outlineLevel="0" collapsed="false">
      <c r="A11" s="4" t="s">
        <v>14</v>
      </c>
      <c r="B11" s="4"/>
      <c r="C11" s="4" t="s">
        <v>15</v>
      </c>
      <c r="D11" s="4"/>
      <c r="E11" s="4" t="s">
        <v>16</v>
      </c>
      <c r="F11" s="4"/>
      <c r="G11" s="4" t="s">
        <v>17</v>
      </c>
      <c r="H11" s="4"/>
      <c r="I11" s="4" t="s">
        <v>18</v>
      </c>
      <c r="J11" s="4"/>
      <c r="K11" s="4" t="s">
        <v>19</v>
      </c>
      <c r="L11" s="4"/>
      <c r="M11" s="4" t="s">
        <v>20</v>
      </c>
      <c r="N11" s="4"/>
      <c r="O11" s="4" t="s">
        <v>21</v>
      </c>
      <c r="P11" s="4"/>
    </row>
    <row r="12" customFormat="false" ht="33.85" hidden="false" customHeight="false" outlineLevel="0" collapsed="false">
      <c r="A12" s="6" t="n">
        <f aca="false">COUNTIF(Dependencies!H:H,"Current")</f>
        <v>5</v>
      </c>
      <c r="B12" s="6"/>
      <c r="C12" s="12" t="n">
        <f aca="false">COUNTIF(Dependencies!H:H,"Outdated")</f>
        <v>5</v>
      </c>
      <c r="D12" s="12"/>
      <c r="E12" s="10" t="n">
        <f aca="false">COUNTIF(Dependencies!H:H,"Critical")</f>
        <v>2</v>
      </c>
      <c r="F12" s="10"/>
      <c r="G12" s="10" t="n">
        <f aca="false">COUNTIF(Dependencies!I:I,"Yes")</f>
        <v>1</v>
      </c>
      <c r="H12" s="10"/>
      <c r="I12" s="6" t="n">
        <f aca="false">COUNTIF(Frameworks!G:G,"Current")</f>
        <v>5</v>
      </c>
      <c r="J12" s="6"/>
      <c r="K12" s="12" t="n">
        <f aca="false">COUNTIF(Frameworks!G:G,"Update Available")</f>
        <v>4</v>
      </c>
      <c r="L12" s="12"/>
      <c r="M12" s="11" t="n">
        <f aca="false">COUNTIF(Frameworks!G:G,"Major Behind")</f>
        <v>1</v>
      </c>
      <c r="N12" s="11"/>
      <c r="O12" s="10" t="n">
        <f aca="false">COUNTIF(Frameworks!G:G,"Unsupported")</f>
        <v>0</v>
      </c>
      <c r="P12" s="10"/>
    </row>
    <row r="14" customFormat="false" ht="27.75" hidden="false" customHeight="true" outlineLevel="0" collapsed="false">
      <c r="A14" s="3" t="s">
        <v>22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6" customFormat="false" ht="31.5" hidden="false" customHeight="true" outlineLevel="0" collapsed="false">
      <c r="A16" s="13" t="s">
        <v>23</v>
      </c>
      <c r="B16" s="13" t="s">
        <v>24</v>
      </c>
      <c r="C16" s="13" t="s">
        <v>25</v>
      </c>
      <c r="D16" s="13" t="s">
        <v>26</v>
      </c>
      <c r="E16" s="13" t="s">
        <v>27</v>
      </c>
      <c r="F16" s="13" t="s">
        <v>28</v>
      </c>
      <c r="G16" s="13" t="s">
        <v>29</v>
      </c>
      <c r="H16" s="13" t="s">
        <v>30</v>
      </c>
    </row>
    <row r="17" customFormat="false" ht="15" hidden="false" customHeight="false" outlineLevel="0" collapsed="false">
      <c r="A17" s="14" t="s">
        <v>31</v>
      </c>
      <c r="B17" s="14" t="s">
        <v>32</v>
      </c>
      <c r="C17" s="14" t="s">
        <v>33</v>
      </c>
      <c r="D17" s="14" t="s">
        <v>34</v>
      </c>
      <c r="E17" s="14" t="s">
        <v>35</v>
      </c>
      <c r="F17" s="14" t="s">
        <v>36</v>
      </c>
      <c r="G17" s="14" t="s">
        <v>37</v>
      </c>
      <c r="H17" s="14" t="s">
        <v>38</v>
      </c>
    </row>
    <row r="18" customFormat="false" ht="15" hidden="false" customHeight="false" outlineLevel="0" collapsed="false">
      <c r="A18" s="15" t="s">
        <v>31</v>
      </c>
      <c r="B18" s="15" t="s">
        <v>39</v>
      </c>
      <c r="C18" s="15" t="s">
        <v>40</v>
      </c>
      <c r="D18" s="15" t="s">
        <v>41</v>
      </c>
      <c r="E18" s="15" t="s">
        <v>42</v>
      </c>
      <c r="F18" s="15" t="s">
        <v>43</v>
      </c>
      <c r="G18" s="15" t="s">
        <v>44</v>
      </c>
      <c r="H18" s="15" t="s">
        <v>45</v>
      </c>
    </row>
    <row r="19" customFormat="false" ht="15" hidden="false" customHeight="false" outlineLevel="0" collapsed="false">
      <c r="A19" s="14" t="s">
        <v>46</v>
      </c>
      <c r="B19" s="14" t="s">
        <v>47</v>
      </c>
      <c r="C19" s="14" t="s">
        <v>48</v>
      </c>
      <c r="D19" s="14" t="s">
        <v>49</v>
      </c>
      <c r="E19" s="14" t="s">
        <v>50</v>
      </c>
      <c r="F19" s="14" t="s">
        <v>51</v>
      </c>
      <c r="G19" s="14" t="s">
        <v>52</v>
      </c>
      <c r="H19" s="14" t="s">
        <v>53</v>
      </c>
    </row>
    <row r="20" customFormat="false" ht="28.35" hidden="false" customHeight="false" outlineLevel="0" collapsed="false">
      <c r="A20" s="15" t="s">
        <v>46</v>
      </c>
      <c r="B20" s="15" t="s">
        <v>39</v>
      </c>
      <c r="C20" s="15" t="s">
        <v>54</v>
      </c>
      <c r="D20" s="15" t="s">
        <v>55</v>
      </c>
      <c r="E20" s="15" t="s">
        <v>56</v>
      </c>
      <c r="F20" s="15" t="s">
        <v>57</v>
      </c>
      <c r="G20" s="15" t="s">
        <v>58</v>
      </c>
      <c r="H20" s="15" t="s">
        <v>59</v>
      </c>
    </row>
    <row r="21" customFormat="false" ht="15" hidden="false" customHeight="false" outlineLevel="0" collapsed="false">
      <c r="A21" s="14" t="s">
        <v>60</v>
      </c>
      <c r="B21" s="14" t="s">
        <v>47</v>
      </c>
      <c r="C21" s="14" t="s">
        <v>61</v>
      </c>
      <c r="D21" s="14" t="s">
        <v>62</v>
      </c>
      <c r="E21" s="14" t="s">
        <v>63</v>
      </c>
      <c r="F21" s="14" t="s">
        <v>64</v>
      </c>
      <c r="G21" s="14" t="s">
        <v>65</v>
      </c>
      <c r="H21" s="14" t="s">
        <v>66</v>
      </c>
    </row>
    <row r="23" customFormat="false" ht="27.75" hidden="false" customHeight="true" outlineLevel="0" collapsed="false">
      <c r="A23" s="3" t="s">
        <v>67</v>
      </c>
      <c r="B23" s="3"/>
      <c r="C23" s="3"/>
      <c r="D23" s="3"/>
      <c r="E23" s="3"/>
      <c r="F23" s="3"/>
      <c r="G23" s="3"/>
      <c r="H23" s="3"/>
      <c r="I23" s="3" t="s">
        <v>68</v>
      </c>
      <c r="J23" s="3"/>
      <c r="K23" s="3"/>
      <c r="L23" s="3"/>
      <c r="M23" s="3"/>
      <c r="N23" s="3"/>
      <c r="O23" s="3"/>
      <c r="P23" s="3"/>
    </row>
    <row r="25" customFormat="false" ht="31.5" hidden="false" customHeight="true" outlineLevel="0" collapsed="false">
      <c r="A25" s="13" t="s">
        <v>69</v>
      </c>
      <c r="B25" s="13" t="s">
        <v>70</v>
      </c>
      <c r="C25" s="13" t="s">
        <v>71</v>
      </c>
      <c r="D25" s="13" t="s">
        <v>72</v>
      </c>
      <c r="E25" s="13" t="s">
        <v>73</v>
      </c>
      <c r="F25" s="13" t="s">
        <v>74</v>
      </c>
      <c r="I25" s="16" t="s">
        <v>69</v>
      </c>
      <c r="J25" s="16" t="s">
        <v>75</v>
      </c>
      <c r="K25" s="16" t="s">
        <v>76</v>
      </c>
      <c r="L25" s="16" t="s">
        <v>71</v>
      </c>
      <c r="M25" s="16" t="s">
        <v>77</v>
      </c>
      <c r="N25" s="16" t="s">
        <v>78</v>
      </c>
    </row>
    <row r="26" customFormat="false" ht="28.35" hidden="false" customHeight="false" outlineLevel="0" collapsed="false">
      <c r="A26" s="15" t="s">
        <v>79</v>
      </c>
      <c r="B26" s="15" t="s">
        <v>80</v>
      </c>
      <c r="C26" s="15" t="s">
        <v>81</v>
      </c>
      <c r="D26" s="15" t="s">
        <v>82</v>
      </c>
      <c r="E26" s="15" t="s">
        <v>83</v>
      </c>
      <c r="F26" s="15" t="s">
        <v>84</v>
      </c>
      <c r="I26" s="17" t="s">
        <v>79</v>
      </c>
      <c r="J26" s="17" t="s">
        <v>85</v>
      </c>
      <c r="K26" s="17" t="s">
        <v>9</v>
      </c>
      <c r="L26" s="17" t="s">
        <v>86</v>
      </c>
      <c r="M26" s="17" t="s">
        <v>87</v>
      </c>
      <c r="N26" s="17" t="s">
        <v>88</v>
      </c>
    </row>
    <row r="27" customFormat="false" ht="28.35" hidden="false" customHeight="false" outlineLevel="0" collapsed="false">
      <c r="A27" s="14" t="s">
        <v>89</v>
      </c>
      <c r="B27" s="14" t="s">
        <v>64</v>
      </c>
      <c r="C27" s="14" t="s">
        <v>61</v>
      </c>
      <c r="D27" s="14" t="s">
        <v>62</v>
      </c>
      <c r="E27" s="14" t="s">
        <v>90</v>
      </c>
      <c r="F27" s="14" t="s">
        <v>91</v>
      </c>
      <c r="I27" s="18" t="s">
        <v>89</v>
      </c>
      <c r="J27" s="18" t="s">
        <v>92</v>
      </c>
      <c r="K27" s="18" t="s">
        <v>10</v>
      </c>
      <c r="L27" s="18" t="s">
        <v>93</v>
      </c>
      <c r="M27" s="18" t="s">
        <v>94</v>
      </c>
      <c r="N27" s="18" t="s">
        <v>95</v>
      </c>
    </row>
    <row r="28" customFormat="false" ht="28.35" hidden="false" customHeight="false" outlineLevel="0" collapsed="false">
      <c r="A28" s="15" t="s">
        <v>96</v>
      </c>
      <c r="B28" s="15" t="s">
        <v>51</v>
      </c>
      <c r="C28" s="15" t="s">
        <v>97</v>
      </c>
      <c r="D28" s="15" t="s">
        <v>98</v>
      </c>
      <c r="E28" s="15" t="s">
        <v>99</v>
      </c>
      <c r="F28" s="15" t="s">
        <v>100</v>
      </c>
      <c r="I28" s="17" t="s">
        <v>96</v>
      </c>
      <c r="J28" s="17" t="s">
        <v>101</v>
      </c>
      <c r="K28" s="17" t="s">
        <v>102</v>
      </c>
      <c r="L28" s="17" t="s">
        <v>103</v>
      </c>
      <c r="M28" s="17" t="s">
        <v>104</v>
      </c>
      <c r="N28" s="17" t="s">
        <v>105</v>
      </c>
    </row>
    <row r="29" customFormat="false" ht="28.35" hidden="false" customHeight="false" outlineLevel="0" collapsed="false">
      <c r="A29" s="14" t="s">
        <v>106</v>
      </c>
      <c r="B29" s="14" t="s">
        <v>80</v>
      </c>
      <c r="C29" s="14" t="s">
        <v>107</v>
      </c>
      <c r="D29" s="14" t="s">
        <v>108</v>
      </c>
      <c r="E29" s="14" t="s">
        <v>109</v>
      </c>
      <c r="F29" s="14" t="s">
        <v>84</v>
      </c>
      <c r="I29" s="18" t="s">
        <v>106</v>
      </c>
      <c r="J29" s="18" t="s">
        <v>110</v>
      </c>
      <c r="K29" s="18" t="s">
        <v>9</v>
      </c>
      <c r="L29" s="18" t="s">
        <v>111</v>
      </c>
      <c r="M29" s="18" t="s">
        <v>112</v>
      </c>
      <c r="N29" s="18" t="s">
        <v>113</v>
      </c>
    </row>
  </sheetData>
  <mergeCells count="41">
    <mergeCell ref="A1:P1"/>
    <mergeCell ref="A2:P2"/>
    <mergeCell ref="A4:H4"/>
    <mergeCell ref="I4:P4"/>
    <mergeCell ref="A6:B6"/>
    <mergeCell ref="C6:D6"/>
    <mergeCell ref="E6:F6"/>
    <mergeCell ref="G6:H6"/>
    <mergeCell ref="I6:J6"/>
    <mergeCell ref="K6:L6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9:H9"/>
    <mergeCell ref="I9:P9"/>
    <mergeCell ref="A11:B11"/>
    <mergeCell ref="C11:D11"/>
    <mergeCell ref="E11:F11"/>
    <mergeCell ref="G11:H11"/>
    <mergeCell ref="I11:J11"/>
    <mergeCell ref="K11:L11"/>
    <mergeCell ref="M11:N11"/>
    <mergeCell ref="O11:P11"/>
    <mergeCell ref="A12:B12"/>
    <mergeCell ref="C12:D12"/>
    <mergeCell ref="E12:F12"/>
    <mergeCell ref="G12:H12"/>
    <mergeCell ref="I12:J12"/>
    <mergeCell ref="K12:L12"/>
    <mergeCell ref="M12:N12"/>
    <mergeCell ref="O12:P12"/>
    <mergeCell ref="A14:P14"/>
    <mergeCell ref="A23:H23"/>
    <mergeCell ref="I23:P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82CE"/>
    <pageSetUpPr fitToPage="false"/>
  </sheetPr>
  <dimension ref="A1:V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6" min="4" style="0" width="15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35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6" min="14" style="0" width="12"/>
    <col collapsed="false" customWidth="true" hidden="false" outlineLevel="0" max="17" min="17" style="0" width="10"/>
    <col collapsed="false" customWidth="true" hidden="false" outlineLevel="0" max="19" min="18" style="0" width="18"/>
    <col collapsed="false" customWidth="true" hidden="false" outlineLevel="0" max="21" min="20" style="0" width="12"/>
    <col collapsed="false" customWidth="true" hidden="false" outlineLevel="0" max="22" min="22" style="0" width="35"/>
  </cols>
  <sheetData>
    <row r="1" customFormat="false" ht="31.5" hidden="false" customHeight="true" outlineLevel="0" collapsed="false">
      <c r="A1" s="13" t="s">
        <v>114</v>
      </c>
      <c r="B1" s="13" t="s">
        <v>115</v>
      </c>
      <c r="C1" s="13" t="s">
        <v>116</v>
      </c>
      <c r="D1" s="13" t="s">
        <v>117</v>
      </c>
      <c r="E1" s="13" t="s">
        <v>118</v>
      </c>
      <c r="F1" s="13" t="s">
        <v>119</v>
      </c>
      <c r="G1" s="13" t="s">
        <v>120</v>
      </c>
      <c r="H1" s="13" t="s">
        <v>121</v>
      </c>
      <c r="I1" s="13" t="s">
        <v>122</v>
      </c>
      <c r="J1" s="13" t="s">
        <v>123</v>
      </c>
      <c r="K1" s="13" t="s">
        <v>124</v>
      </c>
      <c r="L1" s="13" t="s">
        <v>125</v>
      </c>
      <c r="M1" s="13" t="s">
        <v>126</v>
      </c>
      <c r="N1" s="13" t="s">
        <v>127</v>
      </c>
      <c r="O1" s="13" t="s">
        <v>128</v>
      </c>
      <c r="P1" s="13" t="s">
        <v>129</v>
      </c>
      <c r="Q1" s="13" t="s">
        <v>130</v>
      </c>
      <c r="R1" s="13" t="s">
        <v>131</v>
      </c>
      <c r="S1" s="13" t="s">
        <v>132</v>
      </c>
      <c r="T1" s="13" t="s">
        <v>133</v>
      </c>
      <c r="U1" s="13" t="s">
        <v>134</v>
      </c>
      <c r="V1" s="13" t="s">
        <v>135</v>
      </c>
    </row>
    <row r="2" customFormat="false" ht="15" hidden="false" customHeight="false" outlineLevel="0" collapsed="false">
      <c r="A2" s="15" t="s">
        <v>80</v>
      </c>
      <c r="B2" s="15" t="s">
        <v>136</v>
      </c>
      <c r="C2" s="15" t="s">
        <v>137</v>
      </c>
      <c r="D2" s="15" t="s">
        <v>138</v>
      </c>
      <c r="E2" s="15" t="s">
        <v>139</v>
      </c>
      <c r="F2" s="15" t="s">
        <v>140</v>
      </c>
      <c r="G2" s="15" t="s">
        <v>141</v>
      </c>
      <c r="H2" s="15" t="s">
        <v>142</v>
      </c>
      <c r="I2" s="15" t="s">
        <v>9</v>
      </c>
      <c r="J2" s="15" t="s">
        <v>143</v>
      </c>
      <c r="K2" s="15" t="s">
        <v>144</v>
      </c>
      <c r="L2" s="15" t="s">
        <v>79</v>
      </c>
      <c r="M2" s="15" t="n">
        <f aca="false">COUNTIF(Dependencies!L:L,A2)</f>
        <v>1</v>
      </c>
      <c r="N2" s="15" t="n">
        <f aca="false">COUNTIF(Dependencies!L:L,A2)-SUMPRODUCT((Dependencies!L:L=A2)*(Dependencies!H:H="Current"))</f>
        <v>0</v>
      </c>
      <c r="O2" s="19" t="n">
        <f aca="false">SUMPRODUCT((Dependencies!L:L=A2)*(Dependencies!J:J&gt;0))</f>
        <v>0</v>
      </c>
      <c r="P2" s="15" t="n">
        <f aca="false">COUNTIF(Frameworks!J:J,A2)</f>
        <v>2</v>
      </c>
      <c r="Q2" s="15"/>
      <c r="R2" s="15" t="s">
        <v>145</v>
      </c>
      <c r="S2" s="15" t="s">
        <v>146</v>
      </c>
      <c r="T2" s="15" t="s">
        <v>147</v>
      </c>
      <c r="U2" s="15" t="s">
        <v>148</v>
      </c>
      <c r="V2" s="15" t="s">
        <v>149</v>
      </c>
    </row>
    <row r="3" customFormat="false" ht="15" hidden="false" customHeight="false" outlineLevel="0" collapsed="false">
      <c r="A3" s="14" t="s">
        <v>64</v>
      </c>
      <c r="B3" s="14" t="s">
        <v>150</v>
      </c>
      <c r="C3" s="14" t="s">
        <v>151</v>
      </c>
      <c r="D3" s="14" t="s">
        <v>152</v>
      </c>
      <c r="E3" s="14" t="s">
        <v>153</v>
      </c>
      <c r="F3" s="14" t="s">
        <v>154</v>
      </c>
      <c r="G3" s="14" t="s">
        <v>141</v>
      </c>
      <c r="H3" s="14" t="s">
        <v>142</v>
      </c>
      <c r="I3" s="14" t="s">
        <v>10</v>
      </c>
      <c r="J3" s="14" t="s">
        <v>155</v>
      </c>
      <c r="K3" s="14" t="s">
        <v>156</v>
      </c>
      <c r="L3" s="14" t="s">
        <v>89</v>
      </c>
      <c r="M3" s="14" t="n">
        <f aca="false">COUNTIF(Dependencies!L:L,A3)</f>
        <v>1</v>
      </c>
      <c r="N3" s="14" t="n">
        <f aca="false">COUNTIF(Dependencies!L:L,A3)-SUMPRODUCT((Dependencies!L:L=A3)*(Dependencies!H:H="Current"))</f>
        <v>0</v>
      </c>
      <c r="O3" s="20" t="n">
        <f aca="false">SUMPRODUCT((Dependencies!L:L=A3)*(Dependencies!J:J&gt;0))</f>
        <v>0</v>
      </c>
      <c r="P3" s="14" t="n">
        <f aca="false">COUNTIF(Frameworks!J:J,A3)</f>
        <v>2</v>
      </c>
      <c r="Q3" s="14"/>
      <c r="R3" s="14" t="s">
        <v>157</v>
      </c>
      <c r="S3" s="14" t="s">
        <v>158</v>
      </c>
      <c r="T3" s="14" t="s">
        <v>159</v>
      </c>
      <c r="U3" s="14" t="s">
        <v>160</v>
      </c>
      <c r="V3" s="14" t="s">
        <v>161</v>
      </c>
    </row>
    <row r="4" customFormat="false" ht="15" hidden="false" customHeight="false" outlineLevel="0" collapsed="false">
      <c r="A4" s="15" t="s">
        <v>51</v>
      </c>
      <c r="B4" s="15" t="s">
        <v>162</v>
      </c>
      <c r="C4" s="15" t="s">
        <v>163</v>
      </c>
      <c r="D4" s="15" t="s">
        <v>164</v>
      </c>
      <c r="E4" s="15" t="s">
        <v>165</v>
      </c>
      <c r="F4" s="15" t="s">
        <v>166</v>
      </c>
      <c r="G4" s="15" t="s">
        <v>141</v>
      </c>
      <c r="H4" s="15" t="s">
        <v>142</v>
      </c>
      <c r="I4" s="15" t="s">
        <v>9</v>
      </c>
      <c r="J4" s="15" t="s">
        <v>167</v>
      </c>
      <c r="K4" s="15" t="s">
        <v>168</v>
      </c>
      <c r="L4" s="15" t="s">
        <v>79</v>
      </c>
      <c r="M4" s="15" t="n">
        <f aca="false">COUNTIF(Dependencies!L:L,A4)</f>
        <v>3</v>
      </c>
      <c r="N4" s="15" t="n">
        <f aca="false">COUNTIF(Dependencies!L:L,A4)-SUMPRODUCT((Dependencies!L:L=A4)*(Dependencies!H:H="Current"))</f>
        <v>3</v>
      </c>
      <c r="O4" s="19" t="n">
        <f aca="false">SUMPRODUCT((Dependencies!L:L=A4)*(Dependencies!J:J&gt;0))</f>
        <v>3</v>
      </c>
      <c r="P4" s="15" t="n">
        <f aca="false">COUNTIF(Frameworks!J:J,A4)</f>
        <v>1</v>
      </c>
      <c r="Q4" s="15"/>
      <c r="R4" s="15" t="s">
        <v>169</v>
      </c>
      <c r="S4" s="15" t="s">
        <v>170</v>
      </c>
      <c r="T4" s="15" t="s">
        <v>147</v>
      </c>
      <c r="U4" s="15" t="s">
        <v>171</v>
      </c>
      <c r="V4" s="15" t="s">
        <v>172</v>
      </c>
    </row>
    <row r="5" customFormat="false" ht="15" hidden="false" customHeight="false" outlineLevel="0" collapsed="false">
      <c r="A5" s="14" t="s">
        <v>173</v>
      </c>
      <c r="B5" s="14" t="s">
        <v>174</v>
      </c>
      <c r="C5" s="14" t="s">
        <v>175</v>
      </c>
      <c r="D5" s="14" t="s">
        <v>176</v>
      </c>
      <c r="E5" s="14" t="s">
        <v>177</v>
      </c>
      <c r="F5" s="14" t="s">
        <v>178</v>
      </c>
      <c r="G5" s="14" t="s">
        <v>141</v>
      </c>
      <c r="H5" s="14" t="s">
        <v>142</v>
      </c>
      <c r="I5" s="14" t="s">
        <v>10</v>
      </c>
      <c r="J5" s="14" t="s">
        <v>179</v>
      </c>
      <c r="K5" s="14" t="s">
        <v>180</v>
      </c>
      <c r="L5" s="14" t="s">
        <v>96</v>
      </c>
      <c r="M5" s="14" t="n">
        <f aca="false">COUNTIF(Dependencies!L:L,A5)</f>
        <v>1</v>
      </c>
      <c r="N5" s="14" t="n">
        <f aca="false">COUNTIF(Dependencies!L:L,A5)-SUMPRODUCT((Dependencies!L:L=A5)*(Dependencies!H:H="Current"))</f>
        <v>0</v>
      </c>
      <c r="O5" s="20" t="n">
        <f aca="false">SUMPRODUCT((Dependencies!L:L=A5)*(Dependencies!J:J&gt;0))</f>
        <v>0</v>
      </c>
      <c r="P5" s="14" t="n">
        <f aca="false">COUNTIF(Frameworks!J:J,A5)</f>
        <v>2</v>
      </c>
      <c r="Q5" s="14"/>
      <c r="R5" s="14" t="s">
        <v>157</v>
      </c>
      <c r="S5" s="14" t="s">
        <v>146</v>
      </c>
      <c r="T5" s="14" t="s">
        <v>147</v>
      </c>
      <c r="U5" s="14" t="s">
        <v>181</v>
      </c>
      <c r="V5" s="14" t="s">
        <v>182</v>
      </c>
    </row>
    <row r="6" customFormat="false" ht="15" hidden="false" customHeight="false" outlineLevel="0" collapsed="false">
      <c r="A6" s="15" t="s">
        <v>183</v>
      </c>
      <c r="B6" s="15" t="s">
        <v>184</v>
      </c>
      <c r="C6" s="15" t="s">
        <v>185</v>
      </c>
      <c r="D6" s="15" t="s">
        <v>186</v>
      </c>
      <c r="E6" s="15" t="s">
        <v>187</v>
      </c>
      <c r="F6" s="15" t="s">
        <v>188</v>
      </c>
      <c r="G6" s="15" t="s">
        <v>141</v>
      </c>
      <c r="H6" s="15" t="s">
        <v>142</v>
      </c>
      <c r="I6" s="15" t="s">
        <v>102</v>
      </c>
      <c r="J6" s="15" t="s">
        <v>189</v>
      </c>
      <c r="K6" s="15" t="s">
        <v>190</v>
      </c>
      <c r="L6" s="15" t="s">
        <v>106</v>
      </c>
      <c r="M6" s="15" t="n">
        <f aca="false">COUNTIF(Dependencies!L:L,A6)</f>
        <v>0</v>
      </c>
      <c r="N6" s="15" t="n">
        <f aca="false">COUNTIF(Dependencies!L:L,A6)-SUMPRODUCT((Dependencies!L:L=A6)*(Dependencies!H:H="Current"))</f>
        <v>0</v>
      </c>
      <c r="O6" s="19" t="n">
        <f aca="false">SUMPRODUCT((Dependencies!L:L=A6)*(Dependencies!J:J&gt;0))</f>
        <v>0</v>
      </c>
      <c r="P6" s="15" t="n">
        <f aca="false">COUNTIF(Frameworks!J:J,A6)</f>
        <v>1</v>
      </c>
      <c r="Q6" s="15"/>
      <c r="R6" s="15" t="s">
        <v>191</v>
      </c>
      <c r="S6" s="15" t="s">
        <v>158</v>
      </c>
      <c r="T6" s="15" t="s">
        <v>159</v>
      </c>
      <c r="U6" s="15" t="s">
        <v>192</v>
      </c>
      <c r="V6" s="15" t="s">
        <v>193</v>
      </c>
    </row>
  </sheetData>
  <autoFilter ref="A1:V6"/>
  <conditionalFormatting sqref="I2:I500">
    <cfRule type="expression" priority="2" aboveAverage="0" equalAverage="0" bottom="0" percent="0" rank="0" text="" dxfId="8">
      <formula>$I2="Critical"</formula>
    </cfRule>
    <cfRule type="expression" priority="3" aboveAverage="0" equalAverage="0" bottom="0" percent="0" rank="0" text="" dxfId="9">
      <formula>$I2="High"</formula>
    </cfRule>
  </conditionalFormatting>
  <conditionalFormatting sqref="O2:O500">
    <cfRule type="colorScale" priority="4">
      <colorScale>
        <cfvo type="num" val="0"/>
        <cfvo type="num" val="5"/>
        <color rgb="FF38A169"/>
        <color rgb="FFE53E3E"/>
      </colorScale>
    </cfRule>
  </conditionalFormatting>
  <dataValidations count="5">
    <dataValidation allowBlank="true" error="Please select from the list" errorStyle="stop" errorTitle="Invalid Entry" operator="between" showDropDown="false" showErrorMessage="false" showInputMessage="false" sqref="G2:G500" type="list">
      <formula1>"Active,Development,Maintenance,Deprecated,Archived"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H2:H500" type="list">
      <formula1>"Production,Staging,Development,Testing"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I2:I500" type="list">
      <formula1>"Critical,High,Medium,Low"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S2:S500" type="list">
      <formula1>"Public,Internal,Confidential,Highly Confidential,Restricted"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T2:T5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5AD5"/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5"/>
    <col collapsed="false" customWidth="true" hidden="false" outlineLevel="0" max="16" min="16" style="0" width="12"/>
  </cols>
  <sheetData>
    <row r="1" customFormat="false" ht="27.75" hidden="false" customHeight="true" outlineLevel="0" collapsed="false">
      <c r="A1" s="3" t="s">
        <v>194</v>
      </c>
      <c r="B1" s="3"/>
      <c r="C1" s="3"/>
      <c r="D1" s="3"/>
      <c r="E1" s="3"/>
      <c r="F1" s="3"/>
      <c r="G1" s="3"/>
      <c r="H1" s="3"/>
      <c r="I1" s="3"/>
      <c r="J1" s="3"/>
    </row>
    <row r="3" customFormat="false" ht="31.5" hidden="false" customHeight="true" outlineLevel="0" collapsed="false">
      <c r="A3" s="13" t="s">
        <v>114</v>
      </c>
      <c r="B3" s="13" t="s">
        <v>115</v>
      </c>
      <c r="C3" s="13" t="s">
        <v>195</v>
      </c>
      <c r="D3" s="13" t="s">
        <v>196</v>
      </c>
      <c r="E3" s="13" t="s">
        <v>197</v>
      </c>
      <c r="F3" s="13" t="s">
        <v>198</v>
      </c>
      <c r="G3" s="13" t="s">
        <v>199</v>
      </c>
      <c r="H3" s="13" t="s">
        <v>200</v>
      </c>
      <c r="I3" s="13" t="s">
        <v>201</v>
      </c>
      <c r="J3" s="13" t="s">
        <v>202</v>
      </c>
      <c r="K3" s="13" t="s">
        <v>203</v>
      </c>
      <c r="L3" s="13" t="s">
        <v>204</v>
      </c>
      <c r="M3" s="13" t="s">
        <v>205</v>
      </c>
      <c r="N3" s="13" t="s">
        <v>206</v>
      </c>
      <c r="O3" s="13" t="s">
        <v>207</v>
      </c>
      <c r="P3" s="13" t="s">
        <v>208</v>
      </c>
    </row>
    <row r="4" customFormat="false" ht="15" hidden="false" customHeight="false" outlineLevel="0" collapsed="false">
      <c r="A4" s="15" t="s">
        <v>80</v>
      </c>
      <c r="B4" s="15" t="s">
        <v>136</v>
      </c>
      <c r="C4" s="15" t="s">
        <v>209</v>
      </c>
      <c r="D4" s="15" t="s">
        <v>210</v>
      </c>
      <c r="E4" s="15" t="s">
        <v>211</v>
      </c>
      <c r="F4" s="15" t="s">
        <v>212</v>
      </c>
      <c r="G4" s="15" t="s">
        <v>213</v>
      </c>
      <c r="H4" s="15" t="s">
        <v>214</v>
      </c>
      <c r="I4" s="15" t="s">
        <v>215</v>
      </c>
      <c r="J4" s="15" t="s">
        <v>156</v>
      </c>
      <c r="K4" s="15" t="s">
        <v>216</v>
      </c>
      <c r="L4" s="15" t="s">
        <v>217</v>
      </c>
      <c r="M4" s="15" t="s">
        <v>218</v>
      </c>
      <c r="N4" s="15" t="s">
        <v>219</v>
      </c>
      <c r="O4" s="15" t="s">
        <v>220</v>
      </c>
      <c r="P4" s="15" t="s">
        <v>79</v>
      </c>
    </row>
    <row r="5" customFormat="false" ht="28.35" hidden="false" customHeight="false" outlineLevel="0" collapsed="false">
      <c r="A5" s="14" t="s">
        <v>64</v>
      </c>
      <c r="B5" s="14" t="s">
        <v>150</v>
      </c>
      <c r="C5" s="14" t="s">
        <v>221</v>
      </c>
      <c r="D5" s="14" t="s">
        <v>222</v>
      </c>
      <c r="E5" s="14" t="s">
        <v>223</v>
      </c>
      <c r="F5" s="14" t="s">
        <v>224</v>
      </c>
      <c r="G5" s="14" t="s">
        <v>225</v>
      </c>
      <c r="H5" s="14" t="s">
        <v>226</v>
      </c>
      <c r="I5" s="14" t="s">
        <v>227</v>
      </c>
      <c r="J5" s="14" t="s">
        <v>228</v>
      </c>
      <c r="K5" s="14" t="s">
        <v>229</v>
      </c>
      <c r="L5" s="14" t="s">
        <v>230</v>
      </c>
      <c r="M5" s="14" t="s">
        <v>231</v>
      </c>
      <c r="N5" s="14" t="s">
        <v>34</v>
      </c>
      <c r="O5" s="14" t="s">
        <v>232</v>
      </c>
      <c r="P5" s="14" t="s">
        <v>89</v>
      </c>
    </row>
    <row r="6" customFormat="false" ht="15" hidden="false" customHeight="false" outlineLevel="0" collapsed="false">
      <c r="A6" s="15" t="s">
        <v>51</v>
      </c>
      <c r="B6" s="15" t="s">
        <v>162</v>
      </c>
      <c r="C6" s="15" t="s">
        <v>233</v>
      </c>
      <c r="D6" s="15" t="s">
        <v>34</v>
      </c>
      <c r="E6" s="15" t="s">
        <v>234</v>
      </c>
      <c r="F6" s="15" t="s">
        <v>235</v>
      </c>
      <c r="G6" s="15" t="s">
        <v>236</v>
      </c>
      <c r="H6" s="15" t="s">
        <v>214</v>
      </c>
      <c r="I6" s="15" t="s">
        <v>237</v>
      </c>
      <c r="J6" s="15" t="s">
        <v>144</v>
      </c>
      <c r="K6" s="15" t="s">
        <v>238</v>
      </c>
      <c r="L6" s="15" t="s">
        <v>239</v>
      </c>
      <c r="M6" s="15" t="s">
        <v>240</v>
      </c>
      <c r="N6" s="15" t="s">
        <v>34</v>
      </c>
      <c r="O6" s="15" t="s">
        <v>241</v>
      </c>
      <c r="P6" s="15" t="s">
        <v>79</v>
      </c>
    </row>
    <row r="7" customFormat="false" ht="15" hidden="false" customHeight="false" outlineLevel="0" collapsed="false">
      <c r="A7" s="14" t="s">
        <v>173</v>
      </c>
      <c r="B7" s="14" t="s">
        <v>174</v>
      </c>
      <c r="C7" s="14" t="s">
        <v>242</v>
      </c>
      <c r="D7" s="14" t="s">
        <v>34</v>
      </c>
      <c r="E7" s="14" t="s">
        <v>243</v>
      </c>
      <c r="F7" s="14" t="s">
        <v>244</v>
      </c>
      <c r="G7" s="14" t="s">
        <v>213</v>
      </c>
      <c r="H7" s="14" t="s">
        <v>214</v>
      </c>
      <c r="I7" s="14" t="s">
        <v>215</v>
      </c>
      <c r="J7" s="14" t="s">
        <v>180</v>
      </c>
      <c r="K7" s="14" t="s">
        <v>216</v>
      </c>
      <c r="L7" s="14" t="s">
        <v>217</v>
      </c>
      <c r="M7" s="14" t="s">
        <v>245</v>
      </c>
      <c r="N7" s="14" t="s">
        <v>219</v>
      </c>
      <c r="O7" s="14" t="s">
        <v>246</v>
      </c>
      <c r="P7" s="14" t="s">
        <v>96</v>
      </c>
    </row>
    <row r="8" customFormat="false" ht="28.35" hidden="false" customHeight="false" outlineLevel="0" collapsed="false">
      <c r="A8" s="15" t="s">
        <v>183</v>
      </c>
      <c r="B8" s="15" t="s">
        <v>184</v>
      </c>
      <c r="C8" s="15" t="s">
        <v>247</v>
      </c>
      <c r="D8" s="15" t="s">
        <v>34</v>
      </c>
      <c r="E8" s="15" t="s">
        <v>248</v>
      </c>
      <c r="F8" s="15" t="s">
        <v>249</v>
      </c>
      <c r="G8" s="15" t="s">
        <v>250</v>
      </c>
      <c r="H8" s="15" t="s">
        <v>214</v>
      </c>
      <c r="I8" s="15" t="s">
        <v>251</v>
      </c>
      <c r="J8" s="15" t="s">
        <v>252</v>
      </c>
      <c r="K8" s="15" t="s">
        <v>217</v>
      </c>
      <c r="L8" s="15" t="s">
        <v>253</v>
      </c>
      <c r="M8" s="15" t="s">
        <v>254</v>
      </c>
      <c r="N8" s="15" t="s">
        <v>34</v>
      </c>
      <c r="O8" s="15" t="s">
        <v>255</v>
      </c>
      <c r="P8" s="15" t="s">
        <v>106</v>
      </c>
    </row>
  </sheetData>
  <autoFilter ref="A3:P100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9795"/>
    <pageSetUpPr fitToPage="false"/>
  </sheetPr>
  <dimension ref="A1:U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8" min="17" style="0" width="12"/>
    <col collapsed="false" customWidth="true" hidden="false" outlineLevel="0" max="19" min="19" style="0" width="14"/>
    <col collapsed="false" customWidth="true" hidden="false" outlineLevel="0" max="20" min="20" style="0" width="35"/>
    <col collapsed="false" customWidth="true" hidden="false" outlineLevel="0" max="21" min="21" style="0" width="15"/>
  </cols>
  <sheetData>
    <row r="1" customFormat="false" ht="31.5" hidden="false" customHeight="true" outlineLevel="0" collapsed="false">
      <c r="A1" s="13" t="s">
        <v>256</v>
      </c>
      <c r="B1" s="13" t="s">
        <v>257</v>
      </c>
      <c r="C1" s="13" t="s">
        <v>24</v>
      </c>
      <c r="D1" s="13" t="s">
        <v>26</v>
      </c>
      <c r="E1" s="13" t="s">
        <v>258</v>
      </c>
      <c r="F1" s="13" t="s">
        <v>259</v>
      </c>
      <c r="G1" s="13" t="s">
        <v>260</v>
      </c>
      <c r="H1" s="13" t="s">
        <v>261</v>
      </c>
      <c r="I1" s="13" t="s">
        <v>17</v>
      </c>
      <c r="J1" s="13" t="s">
        <v>262</v>
      </c>
      <c r="K1" s="13" t="s">
        <v>263</v>
      </c>
      <c r="L1" s="13" t="s">
        <v>264</v>
      </c>
      <c r="M1" s="13" t="s">
        <v>265</v>
      </c>
      <c r="N1" s="13" t="s">
        <v>266</v>
      </c>
      <c r="O1" s="13" t="s">
        <v>267</v>
      </c>
      <c r="P1" s="13" t="s">
        <v>268</v>
      </c>
      <c r="Q1" s="13" t="s">
        <v>269</v>
      </c>
      <c r="R1" s="13" t="s">
        <v>270</v>
      </c>
      <c r="S1" s="13" t="s">
        <v>271</v>
      </c>
      <c r="T1" s="13" t="s">
        <v>272</v>
      </c>
      <c r="U1" s="13" t="s">
        <v>118</v>
      </c>
    </row>
    <row r="2" customFormat="false" ht="15" hidden="false" customHeight="false" outlineLevel="0" collapsed="false">
      <c r="A2" s="15" t="s">
        <v>273</v>
      </c>
      <c r="B2" s="15" t="s">
        <v>40</v>
      </c>
      <c r="C2" s="15" t="s">
        <v>274</v>
      </c>
      <c r="D2" s="15" t="s">
        <v>41</v>
      </c>
      <c r="E2" s="15" t="s">
        <v>275</v>
      </c>
      <c r="F2" s="15" t="s">
        <v>275</v>
      </c>
      <c r="G2" s="15" t="n">
        <v>6</v>
      </c>
      <c r="H2" s="15" t="s">
        <v>15</v>
      </c>
      <c r="I2" s="15" t="s">
        <v>159</v>
      </c>
      <c r="J2" s="21" t="n">
        <v>3</v>
      </c>
      <c r="K2" s="21" t="n">
        <v>7.5</v>
      </c>
      <c r="L2" s="15" t="s">
        <v>276</v>
      </c>
      <c r="M2" s="15" t="s">
        <v>277</v>
      </c>
      <c r="N2" s="15" t="s">
        <v>278</v>
      </c>
      <c r="O2" s="15" t="s">
        <v>279</v>
      </c>
      <c r="P2" s="15" t="s">
        <v>280</v>
      </c>
      <c r="Q2" s="15" t="s">
        <v>79</v>
      </c>
      <c r="R2" s="15" t="s">
        <v>10</v>
      </c>
      <c r="S2" s="15" t="s">
        <v>159</v>
      </c>
      <c r="T2" s="15" t="s">
        <v>281</v>
      </c>
      <c r="U2" s="15" t="s">
        <v>282</v>
      </c>
    </row>
    <row r="3" customFormat="false" ht="15" hidden="false" customHeight="false" outlineLevel="0" collapsed="false">
      <c r="A3" s="14" t="s">
        <v>283</v>
      </c>
      <c r="B3" s="14" t="s">
        <v>81</v>
      </c>
      <c r="C3" s="14" t="s">
        <v>274</v>
      </c>
      <c r="D3" s="14" t="s">
        <v>82</v>
      </c>
      <c r="E3" s="14" t="s">
        <v>83</v>
      </c>
      <c r="F3" s="14" t="s">
        <v>83</v>
      </c>
      <c r="G3" s="14" t="n">
        <v>2</v>
      </c>
      <c r="H3" s="14" t="s">
        <v>15</v>
      </c>
      <c r="I3" s="14" t="s">
        <v>159</v>
      </c>
      <c r="J3" s="22" t="n">
        <v>1</v>
      </c>
      <c r="K3" s="22" t="n">
        <v>5.3</v>
      </c>
      <c r="L3" s="14" t="s">
        <v>284</v>
      </c>
      <c r="M3" s="14" t="s">
        <v>277</v>
      </c>
      <c r="N3" s="14" t="s">
        <v>278</v>
      </c>
      <c r="O3" s="14" t="s">
        <v>279</v>
      </c>
      <c r="P3" s="14" t="s">
        <v>280</v>
      </c>
      <c r="Q3" s="14" t="s">
        <v>79</v>
      </c>
      <c r="R3" s="14" t="s">
        <v>102</v>
      </c>
      <c r="S3" s="14" t="s">
        <v>159</v>
      </c>
      <c r="T3" s="14" t="s">
        <v>285</v>
      </c>
      <c r="U3" s="14" t="s">
        <v>286</v>
      </c>
    </row>
    <row r="4" customFormat="false" ht="15" hidden="false" customHeight="false" outlineLevel="0" collapsed="false">
      <c r="A4" s="15" t="s">
        <v>287</v>
      </c>
      <c r="B4" s="15" t="s">
        <v>288</v>
      </c>
      <c r="C4" s="15" t="s">
        <v>274</v>
      </c>
      <c r="D4" s="15" t="s">
        <v>90</v>
      </c>
      <c r="E4" s="15" t="s">
        <v>90</v>
      </c>
      <c r="F4" s="15" t="s">
        <v>90</v>
      </c>
      <c r="G4" s="15" t="n">
        <v>0</v>
      </c>
      <c r="H4" s="15" t="s">
        <v>18</v>
      </c>
      <c r="I4" s="15" t="s">
        <v>159</v>
      </c>
      <c r="J4" s="21" t="n">
        <v>0</v>
      </c>
      <c r="K4" s="21" t="n">
        <v>0</v>
      </c>
      <c r="L4" s="15" t="s">
        <v>80</v>
      </c>
      <c r="M4" s="15" t="s">
        <v>277</v>
      </c>
      <c r="N4" s="15" t="s">
        <v>278</v>
      </c>
      <c r="O4" s="15" t="s">
        <v>279</v>
      </c>
      <c r="P4" s="15" t="s">
        <v>280</v>
      </c>
      <c r="Q4" s="15" t="s">
        <v>79</v>
      </c>
      <c r="R4" s="15" t="s">
        <v>289</v>
      </c>
      <c r="S4" s="15" t="s">
        <v>159</v>
      </c>
      <c r="T4" s="15" t="s">
        <v>34</v>
      </c>
      <c r="U4" s="15" t="s">
        <v>282</v>
      </c>
    </row>
    <row r="5" customFormat="false" ht="15" hidden="false" customHeight="false" outlineLevel="0" collapsed="false">
      <c r="A5" s="14" t="s">
        <v>290</v>
      </c>
      <c r="B5" s="14" t="s">
        <v>291</v>
      </c>
      <c r="C5" s="14" t="s">
        <v>292</v>
      </c>
      <c r="D5" s="14" t="s">
        <v>293</v>
      </c>
      <c r="E5" s="14" t="s">
        <v>294</v>
      </c>
      <c r="F5" s="14" t="s">
        <v>294</v>
      </c>
      <c r="G5" s="14" t="n">
        <v>12</v>
      </c>
      <c r="H5" s="14" t="s">
        <v>9</v>
      </c>
      <c r="I5" s="14" t="s">
        <v>159</v>
      </c>
      <c r="J5" s="22" t="n">
        <v>2</v>
      </c>
      <c r="K5" s="22" t="n">
        <v>10</v>
      </c>
      <c r="L5" s="14" t="s">
        <v>51</v>
      </c>
      <c r="M5" s="14" t="s">
        <v>277</v>
      </c>
      <c r="N5" s="14" t="s">
        <v>295</v>
      </c>
      <c r="O5" s="14" t="s">
        <v>279</v>
      </c>
      <c r="P5" s="14" t="s">
        <v>296</v>
      </c>
      <c r="Q5" s="14" t="s">
        <v>79</v>
      </c>
      <c r="R5" s="14" t="s">
        <v>9</v>
      </c>
      <c r="S5" s="14" t="s">
        <v>147</v>
      </c>
      <c r="T5" s="14" t="s">
        <v>297</v>
      </c>
      <c r="U5" s="14" t="s">
        <v>286</v>
      </c>
    </row>
    <row r="6" customFormat="false" ht="15" hidden="false" customHeight="false" outlineLevel="0" collapsed="false">
      <c r="A6" s="15" t="s">
        <v>298</v>
      </c>
      <c r="B6" s="15" t="s">
        <v>299</v>
      </c>
      <c r="C6" s="15" t="s">
        <v>292</v>
      </c>
      <c r="D6" s="15" t="s">
        <v>49</v>
      </c>
      <c r="E6" s="15" t="s">
        <v>300</v>
      </c>
      <c r="F6" s="15" t="s">
        <v>300</v>
      </c>
      <c r="G6" s="15" t="n">
        <v>8</v>
      </c>
      <c r="H6" s="15" t="s">
        <v>9</v>
      </c>
      <c r="I6" s="15" t="s">
        <v>159</v>
      </c>
      <c r="J6" s="21" t="n">
        <v>4</v>
      </c>
      <c r="K6" s="21" t="n">
        <v>8.1</v>
      </c>
      <c r="L6" s="15" t="s">
        <v>51</v>
      </c>
      <c r="M6" s="15" t="s">
        <v>277</v>
      </c>
      <c r="N6" s="15" t="s">
        <v>295</v>
      </c>
      <c r="O6" s="15" t="s">
        <v>279</v>
      </c>
      <c r="P6" s="15" t="s">
        <v>296</v>
      </c>
      <c r="Q6" s="15" t="s">
        <v>79</v>
      </c>
      <c r="R6" s="15" t="s">
        <v>9</v>
      </c>
      <c r="S6" s="15" t="s">
        <v>147</v>
      </c>
      <c r="T6" s="15" t="s">
        <v>301</v>
      </c>
      <c r="U6" s="15" t="s">
        <v>286</v>
      </c>
    </row>
    <row r="7" customFormat="false" ht="28.35" hidden="false" customHeight="false" outlineLevel="0" collapsed="false">
      <c r="A7" s="14" t="s">
        <v>302</v>
      </c>
      <c r="B7" s="14" t="s">
        <v>303</v>
      </c>
      <c r="C7" s="14" t="s">
        <v>274</v>
      </c>
      <c r="D7" s="14" t="s">
        <v>55</v>
      </c>
      <c r="E7" s="14" t="s">
        <v>304</v>
      </c>
      <c r="F7" s="14" t="s">
        <v>304</v>
      </c>
      <c r="G7" s="14" t="n">
        <v>1</v>
      </c>
      <c r="H7" s="14" t="s">
        <v>15</v>
      </c>
      <c r="I7" s="14" t="s">
        <v>147</v>
      </c>
      <c r="J7" s="22" t="n">
        <v>1</v>
      </c>
      <c r="K7" s="22" t="n">
        <v>7.5</v>
      </c>
      <c r="L7" s="14" t="s">
        <v>305</v>
      </c>
      <c r="M7" s="14" t="s">
        <v>277</v>
      </c>
      <c r="N7" s="14" t="s">
        <v>278</v>
      </c>
      <c r="O7" s="14" t="s">
        <v>279</v>
      </c>
      <c r="P7" s="14" t="s">
        <v>280</v>
      </c>
      <c r="Q7" s="14" t="s">
        <v>79</v>
      </c>
      <c r="R7" s="14" t="s">
        <v>102</v>
      </c>
      <c r="S7" s="14" t="s">
        <v>159</v>
      </c>
      <c r="T7" s="14" t="s">
        <v>306</v>
      </c>
      <c r="U7" s="14" t="s">
        <v>282</v>
      </c>
    </row>
    <row r="8" customFormat="false" ht="15" hidden="false" customHeight="false" outlineLevel="0" collapsed="false">
      <c r="A8" s="15" t="s">
        <v>307</v>
      </c>
      <c r="B8" s="15" t="s">
        <v>107</v>
      </c>
      <c r="C8" s="15" t="s">
        <v>274</v>
      </c>
      <c r="D8" s="15" t="s">
        <v>109</v>
      </c>
      <c r="E8" s="15" t="s">
        <v>109</v>
      </c>
      <c r="F8" s="15" t="s">
        <v>109</v>
      </c>
      <c r="G8" s="15" t="n">
        <v>0</v>
      </c>
      <c r="H8" s="15" t="s">
        <v>18</v>
      </c>
      <c r="I8" s="15" t="s">
        <v>159</v>
      </c>
      <c r="J8" s="21" t="n">
        <v>0</v>
      </c>
      <c r="K8" s="21" t="n">
        <v>0</v>
      </c>
      <c r="L8" s="15" t="s">
        <v>305</v>
      </c>
      <c r="M8" s="15" t="s">
        <v>277</v>
      </c>
      <c r="N8" s="15" t="s">
        <v>278</v>
      </c>
      <c r="O8" s="15" t="s">
        <v>279</v>
      </c>
      <c r="P8" s="15" t="s">
        <v>280</v>
      </c>
      <c r="Q8" s="15" t="s">
        <v>79</v>
      </c>
      <c r="R8" s="15" t="s">
        <v>289</v>
      </c>
      <c r="S8" s="15" t="s">
        <v>159</v>
      </c>
      <c r="T8" s="15" t="s">
        <v>34</v>
      </c>
      <c r="U8" s="15" t="s">
        <v>282</v>
      </c>
    </row>
    <row r="9" customFormat="false" ht="15" hidden="false" customHeight="false" outlineLevel="0" collapsed="false">
      <c r="A9" s="14" t="s">
        <v>308</v>
      </c>
      <c r="B9" s="14" t="s">
        <v>309</v>
      </c>
      <c r="C9" s="14" t="s">
        <v>310</v>
      </c>
      <c r="D9" s="14" t="s">
        <v>99</v>
      </c>
      <c r="E9" s="14" t="s">
        <v>99</v>
      </c>
      <c r="F9" s="14" t="s">
        <v>311</v>
      </c>
      <c r="G9" s="14" t="n">
        <v>0</v>
      </c>
      <c r="H9" s="14" t="s">
        <v>18</v>
      </c>
      <c r="I9" s="14" t="s">
        <v>159</v>
      </c>
      <c r="J9" s="22" t="n">
        <v>0</v>
      </c>
      <c r="K9" s="22" t="n">
        <v>0</v>
      </c>
      <c r="L9" s="14" t="s">
        <v>64</v>
      </c>
      <c r="M9" s="14" t="s">
        <v>277</v>
      </c>
      <c r="N9" s="14" t="s">
        <v>312</v>
      </c>
      <c r="O9" s="14" t="s">
        <v>279</v>
      </c>
      <c r="P9" s="14" t="s">
        <v>313</v>
      </c>
      <c r="Q9" s="14" t="s">
        <v>89</v>
      </c>
      <c r="R9" s="14" t="s">
        <v>289</v>
      </c>
      <c r="S9" s="14" t="s">
        <v>147</v>
      </c>
      <c r="T9" s="14" t="s">
        <v>314</v>
      </c>
      <c r="U9" s="14" t="s">
        <v>286</v>
      </c>
    </row>
    <row r="10" customFormat="false" ht="15" hidden="false" customHeight="false" outlineLevel="0" collapsed="false">
      <c r="A10" s="15" t="s">
        <v>315</v>
      </c>
      <c r="B10" s="15" t="s">
        <v>316</v>
      </c>
      <c r="C10" s="15" t="s">
        <v>310</v>
      </c>
      <c r="D10" s="15" t="s">
        <v>317</v>
      </c>
      <c r="E10" s="15" t="s">
        <v>317</v>
      </c>
      <c r="F10" s="15" t="s">
        <v>317</v>
      </c>
      <c r="G10" s="15" t="n">
        <v>0</v>
      </c>
      <c r="H10" s="15" t="s">
        <v>18</v>
      </c>
      <c r="I10" s="15" t="s">
        <v>159</v>
      </c>
      <c r="J10" s="21" t="n">
        <v>0</v>
      </c>
      <c r="K10" s="21" t="n">
        <v>0</v>
      </c>
      <c r="L10" s="15" t="s">
        <v>318</v>
      </c>
      <c r="M10" s="15" t="s">
        <v>277</v>
      </c>
      <c r="N10" s="15" t="s">
        <v>319</v>
      </c>
      <c r="O10" s="15" t="s">
        <v>102</v>
      </c>
      <c r="P10" s="15" t="s">
        <v>313</v>
      </c>
      <c r="Q10" s="15" t="s">
        <v>89</v>
      </c>
      <c r="R10" s="15" t="s">
        <v>289</v>
      </c>
      <c r="S10" s="15" t="s">
        <v>159</v>
      </c>
      <c r="T10" s="15" t="s">
        <v>34</v>
      </c>
      <c r="U10" s="15" t="s">
        <v>286</v>
      </c>
    </row>
    <row r="11" customFormat="false" ht="15" hidden="false" customHeight="false" outlineLevel="0" collapsed="false">
      <c r="A11" s="14" t="s">
        <v>320</v>
      </c>
      <c r="B11" s="14" t="s">
        <v>321</v>
      </c>
      <c r="C11" s="14" t="s">
        <v>310</v>
      </c>
      <c r="D11" s="14" t="s">
        <v>322</v>
      </c>
      <c r="E11" s="14" t="s">
        <v>323</v>
      </c>
      <c r="F11" s="14" t="s">
        <v>323</v>
      </c>
      <c r="G11" s="14" t="n">
        <v>3</v>
      </c>
      <c r="H11" s="14" t="s">
        <v>15</v>
      </c>
      <c r="I11" s="14" t="s">
        <v>159</v>
      </c>
      <c r="J11" s="22" t="n">
        <v>1</v>
      </c>
      <c r="K11" s="22" t="n">
        <v>5.9</v>
      </c>
      <c r="L11" s="14" t="s">
        <v>318</v>
      </c>
      <c r="M11" s="14" t="s">
        <v>277</v>
      </c>
      <c r="N11" s="14" t="s">
        <v>295</v>
      </c>
      <c r="O11" s="14" t="s">
        <v>279</v>
      </c>
      <c r="P11" s="14" t="s">
        <v>313</v>
      </c>
      <c r="Q11" s="14" t="s">
        <v>89</v>
      </c>
      <c r="R11" s="14" t="s">
        <v>102</v>
      </c>
      <c r="S11" s="14" t="s">
        <v>159</v>
      </c>
      <c r="T11" s="14" t="s">
        <v>324</v>
      </c>
      <c r="U11" s="14" t="s">
        <v>286</v>
      </c>
    </row>
    <row r="12" customFormat="false" ht="15" hidden="false" customHeight="false" outlineLevel="0" collapsed="false">
      <c r="A12" s="15" t="s">
        <v>325</v>
      </c>
      <c r="B12" s="15" t="s">
        <v>326</v>
      </c>
      <c r="C12" s="15" t="s">
        <v>327</v>
      </c>
      <c r="D12" s="15" t="s">
        <v>328</v>
      </c>
      <c r="E12" s="15" t="s">
        <v>328</v>
      </c>
      <c r="F12" s="15" t="s">
        <v>328</v>
      </c>
      <c r="G12" s="15" t="n">
        <v>0</v>
      </c>
      <c r="H12" s="15" t="s">
        <v>18</v>
      </c>
      <c r="I12" s="15" t="s">
        <v>159</v>
      </c>
      <c r="J12" s="21" t="n">
        <v>0</v>
      </c>
      <c r="K12" s="21" t="n">
        <v>0</v>
      </c>
      <c r="L12" s="15" t="s">
        <v>173</v>
      </c>
      <c r="M12" s="15" t="s">
        <v>277</v>
      </c>
      <c r="N12" s="15" t="s">
        <v>278</v>
      </c>
      <c r="O12" s="15" t="s">
        <v>279</v>
      </c>
      <c r="P12" s="15" t="s">
        <v>329</v>
      </c>
      <c r="Q12" s="15" t="s">
        <v>96</v>
      </c>
      <c r="R12" s="15" t="s">
        <v>289</v>
      </c>
      <c r="S12" s="15" t="s">
        <v>159</v>
      </c>
      <c r="T12" s="15" t="s">
        <v>34</v>
      </c>
      <c r="U12" s="15" t="s">
        <v>286</v>
      </c>
    </row>
    <row r="13" customFormat="false" ht="15" hidden="false" customHeight="false" outlineLevel="0" collapsed="false">
      <c r="A13" s="14" t="s">
        <v>330</v>
      </c>
      <c r="B13" s="14" t="s">
        <v>331</v>
      </c>
      <c r="C13" s="14" t="s">
        <v>292</v>
      </c>
      <c r="D13" s="14" t="s">
        <v>332</v>
      </c>
      <c r="E13" s="14" t="s">
        <v>333</v>
      </c>
      <c r="F13" s="14" t="s">
        <v>333</v>
      </c>
      <c r="G13" s="14" t="n">
        <v>1</v>
      </c>
      <c r="H13" s="14" t="s">
        <v>15</v>
      </c>
      <c r="I13" s="14" t="s">
        <v>159</v>
      </c>
      <c r="J13" s="22" t="n">
        <v>2</v>
      </c>
      <c r="K13" s="22" t="n">
        <v>7.5</v>
      </c>
      <c r="L13" s="14" t="s">
        <v>51</v>
      </c>
      <c r="M13" s="14" t="s">
        <v>334</v>
      </c>
      <c r="N13" s="14" t="s">
        <v>295</v>
      </c>
      <c r="O13" s="14" t="s">
        <v>279</v>
      </c>
      <c r="P13" s="14" t="s">
        <v>296</v>
      </c>
      <c r="Q13" s="14" t="s">
        <v>79</v>
      </c>
      <c r="R13" s="14" t="s">
        <v>10</v>
      </c>
      <c r="S13" s="14" t="s">
        <v>159</v>
      </c>
      <c r="T13" s="14" t="s">
        <v>335</v>
      </c>
      <c r="U13" s="14" t="s">
        <v>286</v>
      </c>
    </row>
  </sheetData>
  <autoFilter ref="A1:U13"/>
  <conditionalFormatting sqref="H2:H1000">
    <cfRule type="expression" priority="2" aboveAverage="0" equalAverage="0" bottom="0" percent="0" rank="0" text="" dxfId="8">
      <formula>$H2="Critical"</formula>
    </cfRule>
    <cfRule type="expression" priority="3" aboveAverage="0" equalAverage="0" bottom="0" percent="0" rank="0" text="" dxfId="16">
      <formula>$H2="Outdated"</formula>
    </cfRule>
    <cfRule type="expression" priority="4" aboveAverage="0" equalAverage="0" bottom="0" percent="0" rank="0" text="" dxfId="17">
      <formula>$H2="Current"</formula>
    </cfRule>
  </conditionalFormatting>
  <conditionalFormatting sqref="I2:I1000">
    <cfRule type="expression" priority="5" aboveAverage="0" equalAverage="0" bottom="0" percent="0" rank="0" text="" dxfId="18">
      <formula>$I2="Yes"</formula>
    </cfRule>
  </conditionalFormatting>
  <conditionalFormatting sqref="J2:J1000">
    <cfRule type="colorScale" priority="6">
      <colorScale>
        <cfvo type="num" val="0"/>
        <cfvo type="num" val="2"/>
        <cfvo type="num" val="5"/>
        <color rgb="FF38A169"/>
        <color rgb="FFD69E2E"/>
        <color rgb="FFE53E3E"/>
      </colorScale>
    </cfRule>
  </conditionalFormatting>
  <conditionalFormatting sqref="K2:K1000">
    <cfRule type="dataBar" priority="7">
      <dataBar showValue="1" minLength="10" maxLength="90">
        <cfvo type="num" val="0"/>
        <cfvo type="num" val="10"/>
        <color rgb="FFE53E3E"/>
      </dataBar>
      <extLst>
        <ext xmlns:x14="http://schemas.microsoft.com/office/spreadsheetml/2009/9/main" uri="{B025F937-C7B1-47D3-B67F-A62EFF666E3E}">
          <x14:id>{5015405D-8086-401B-BD77-A5224CF11C85}</x14:id>
        </ext>
      </extLst>
    </cfRule>
  </conditionalFormatting>
  <conditionalFormatting sqref="R2:R1000">
    <cfRule type="expression" priority="8" aboveAverage="0" equalAverage="0" bottom="0" percent="0" rank="0" text="" dxfId="8">
      <formula>$R2="Critical"</formula>
    </cfRule>
    <cfRule type="expression" priority="9" aboveAverage="0" equalAverage="0" bottom="0" percent="0" rank="0" text="" dxfId="9">
      <formula>$R2="High"</formula>
    </cfRule>
  </conditionalFormatting>
  <dataValidations count="7">
    <dataValidation allowBlank="true" error="Please select from the list" errorStyle="stop" errorTitle="Invalid Entry" operator="between" showDropDown="false" showErrorMessage="false" showInputMessage="false" sqref="C2:C1000" type="list">
      <formula1>"npm,maven,pypi,go,nuget,cargo,composer,gem,cocoapods"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H2:H1000" type="list">
      <formula1>"Current,Outdated,Critical,Unknown"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I2:I1000" type="list">
      <formula1>"Yes,No"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M2:M1000" type="list">
      <formula1>"Direct,Transitive,Dev,Peer"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O2:O1000" type="list">
      <formula1>"Low,Medium,High"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R2:R1000" type="list">
      <formula1>"None,Low,Medium,High,Critical"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S2:S1000" type="list">
      <formula1>"Yes,No,Unknown"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15405D-8086-401B-BD77-A5224CF11C85}">
            <x14:dataBar minLength="10" maxLength="90" axisPosition="none" gradient="true">
              <x14:cfvo type="num">
                <xm:f>0</xm:f>
              </x14:cfvo>
              <x14:cfvo type="num">
                <xm:f>10</xm:f>
              </x14:cfvo>
              <x14:negativeFillColor rgb="FFE53E3E"/>
              <x14:axisColor rgb="FF000000"/>
            </x14:dataBar>
          </x14:cfRule>
          <xm:sqref>K2:K1000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53F8C"/>
    <pageSetUpPr fitToPage="false"/>
  </sheetPr>
  <dimension ref="A1: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30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25"/>
    <col collapsed="false" customWidth="true" hidden="false" outlineLevel="0" max="17" min="17" style="0" width="12"/>
    <col collapsed="false" customWidth="true" hidden="false" outlineLevel="0" max="18" min="18" style="0" width="35"/>
  </cols>
  <sheetData>
    <row r="1" customFormat="false" ht="31.5" hidden="false" customHeight="true" outlineLevel="0" collapsed="false">
      <c r="A1" s="13" t="s">
        <v>336</v>
      </c>
      <c r="B1" s="13" t="s">
        <v>337</v>
      </c>
      <c r="C1" s="13" t="s">
        <v>338</v>
      </c>
      <c r="D1" s="13" t="s">
        <v>26</v>
      </c>
      <c r="E1" s="13" t="s">
        <v>258</v>
      </c>
      <c r="F1" s="13" t="s">
        <v>259</v>
      </c>
      <c r="G1" s="13" t="s">
        <v>261</v>
      </c>
      <c r="H1" s="13" t="s">
        <v>339</v>
      </c>
      <c r="I1" s="13" t="s">
        <v>340</v>
      </c>
      <c r="J1" s="13" t="s">
        <v>264</v>
      </c>
      <c r="K1" s="13" t="s">
        <v>262</v>
      </c>
      <c r="L1" s="13" t="s">
        <v>263</v>
      </c>
      <c r="M1" s="13" t="s">
        <v>270</v>
      </c>
      <c r="N1" s="13" t="s">
        <v>271</v>
      </c>
      <c r="O1" s="13" t="s">
        <v>341</v>
      </c>
      <c r="P1" s="13" t="s">
        <v>342</v>
      </c>
      <c r="Q1" s="13" t="s">
        <v>269</v>
      </c>
      <c r="R1" s="13" t="s">
        <v>135</v>
      </c>
    </row>
    <row r="2" customFormat="false" ht="15" hidden="false" customHeight="false" outlineLevel="0" collapsed="false">
      <c r="A2" s="15" t="s">
        <v>343</v>
      </c>
      <c r="B2" s="15" t="s">
        <v>61</v>
      </c>
      <c r="C2" s="15" t="s">
        <v>344</v>
      </c>
      <c r="D2" s="15" t="s">
        <v>90</v>
      </c>
      <c r="E2" s="15" t="s">
        <v>90</v>
      </c>
      <c r="F2" s="15" t="s">
        <v>90</v>
      </c>
      <c r="G2" s="15" t="s">
        <v>18</v>
      </c>
      <c r="H2" s="15" t="s">
        <v>34</v>
      </c>
      <c r="I2" s="15" t="s">
        <v>34</v>
      </c>
      <c r="J2" s="15" t="s">
        <v>80</v>
      </c>
      <c r="K2" s="19" t="n">
        <v>0</v>
      </c>
      <c r="L2" s="15" t="n">
        <v>0</v>
      </c>
      <c r="M2" s="15" t="s">
        <v>289</v>
      </c>
      <c r="N2" s="15" t="s">
        <v>159</v>
      </c>
      <c r="O2" s="15" t="s">
        <v>34</v>
      </c>
      <c r="P2" s="15" t="s">
        <v>34</v>
      </c>
      <c r="Q2" s="15" t="s">
        <v>79</v>
      </c>
      <c r="R2" s="15" t="s">
        <v>345</v>
      </c>
    </row>
    <row r="3" customFormat="false" ht="15" hidden="false" customHeight="false" outlineLevel="0" collapsed="false">
      <c r="A3" s="14" t="s">
        <v>346</v>
      </c>
      <c r="B3" s="14" t="s">
        <v>347</v>
      </c>
      <c r="C3" s="14" t="s">
        <v>344</v>
      </c>
      <c r="D3" s="14" t="s">
        <v>348</v>
      </c>
      <c r="E3" s="14" t="s">
        <v>349</v>
      </c>
      <c r="F3" s="14" t="s">
        <v>349</v>
      </c>
      <c r="G3" s="14" t="s">
        <v>19</v>
      </c>
      <c r="H3" s="14" t="s">
        <v>34</v>
      </c>
      <c r="I3" s="14" t="s">
        <v>34</v>
      </c>
      <c r="J3" s="14" t="s">
        <v>64</v>
      </c>
      <c r="K3" s="20" t="n">
        <v>0</v>
      </c>
      <c r="L3" s="14" t="n">
        <v>0</v>
      </c>
      <c r="M3" s="14" t="s">
        <v>279</v>
      </c>
      <c r="N3" s="14" t="s">
        <v>159</v>
      </c>
      <c r="O3" s="14" t="s">
        <v>279</v>
      </c>
      <c r="P3" s="14" t="s">
        <v>350</v>
      </c>
      <c r="Q3" s="14" t="s">
        <v>89</v>
      </c>
      <c r="R3" s="14" t="s">
        <v>351</v>
      </c>
    </row>
    <row r="4" customFormat="false" ht="15" hidden="false" customHeight="false" outlineLevel="0" collapsed="false">
      <c r="A4" s="15" t="s">
        <v>352</v>
      </c>
      <c r="B4" s="15" t="s">
        <v>93</v>
      </c>
      <c r="C4" s="15" t="s">
        <v>353</v>
      </c>
      <c r="D4" s="15" t="s">
        <v>354</v>
      </c>
      <c r="E4" s="15" t="s">
        <v>354</v>
      </c>
      <c r="F4" s="15" t="s">
        <v>355</v>
      </c>
      <c r="G4" s="15" t="s">
        <v>18</v>
      </c>
      <c r="H4" s="15" t="s">
        <v>356</v>
      </c>
      <c r="I4" s="15" t="s">
        <v>356</v>
      </c>
      <c r="J4" s="15" t="s">
        <v>284</v>
      </c>
      <c r="K4" s="19" t="n">
        <v>0</v>
      </c>
      <c r="L4" s="15" t="n">
        <v>0</v>
      </c>
      <c r="M4" s="15" t="s">
        <v>289</v>
      </c>
      <c r="N4" s="15" t="s">
        <v>147</v>
      </c>
      <c r="O4" s="15" t="s">
        <v>34</v>
      </c>
      <c r="P4" s="15" t="s">
        <v>34</v>
      </c>
      <c r="Q4" s="15" t="s">
        <v>79</v>
      </c>
      <c r="R4" s="15" t="s">
        <v>357</v>
      </c>
    </row>
    <row r="5" customFormat="false" ht="15" hidden="false" customHeight="false" outlineLevel="0" collapsed="false">
      <c r="A5" s="14" t="s">
        <v>358</v>
      </c>
      <c r="B5" s="14" t="s">
        <v>48</v>
      </c>
      <c r="C5" s="14" t="s">
        <v>359</v>
      </c>
      <c r="D5" s="14" t="s">
        <v>49</v>
      </c>
      <c r="E5" s="14" t="s">
        <v>300</v>
      </c>
      <c r="F5" s="14" t="s">
        <v>300</v>
      </c>
      <c r="G5" s="14" t="s">
        <v>20</v>
      </c>
      <c r="H5" s="14" t="s">
        <v>360</v>
      </c>
      <c r="I5" s="14" t="s">
        <v>34</v>
      </c>
      <c r="J5" s="14" t="s">
        <v>51</v>
      </c>
      <c r="K5" s="20" t="n">
        <v>4</v>
      </c>
      <c r="L5" s="14" t="n">
        <v>8.1</v>
      </c>
      <c r="M5" s="14" t="s">
        <v>9</v>
      </c>
      <c r="N5" s="14" t="s">
        <v>147</v>
      </c>
      <c r="O5" s="14" t="s">
        <v>10</v>
      </c>
      <c r="P5" s="14" t="s">
        <v>361</v>
      </c>
      <c r="Q5" s="14" t="s">
        <v>79</v>
      </c>
      <c r="R5" s="14" t="s">
        <v>362</v>
      </c>
    </row>
    <row r="6" customFormat="false" ht="15" hidden="false" customHeight="false" outlineLevel="0" collapsed="false">
      <c r="A6" s="15" t="s">
        <v>363</v>
      </c>
      <c r="B6" s="15" t="s">
        <v>97</v>
      </c>
      <c r="C6" s="15" t="s">
        <v>359</v>
      </c>
      <c r="D6" s="15" t="s">
        <v>99</v>
      </c>
      <c r="E6" s="15" t="s">
        <v>99</v>
      </c>
      <c r="F6" s="15" t="s">
        <v>311</v>
      </c>
      <c r="G6" s="15" t="s">
        <v>18</v>
      </c>
      <c r="H6" s="15" t="s">
        <v>364</v>
      </c>
      <c r="I6" s="15" t="s">
        <v>364</v>
      </c>
      <c r="J6" s="15" t="s">
        <v>64</v>
      </c>
      <c r="K6" s="19" t="n">
        <v>0</v>
      </c>
      <c r="L6" s="15" t="n">
        <v>0</v>
      </c>
      <c r="M6" s="15" t="s">
        <v>289</v>
      </c>
      <c r="N6" s="15" t="s">
        <v>147</v>
      </c>
      <c r="O6" s="15" t="s">
        <v>34</v>
      </c>
      <c r="P6" s="15" t="s">
        <v>34</v>
      </c>
      <c r="Q6" s="15" t="s">
        <v>89</v>
      </c>
      <c r="R6" s="15" t="s">
        <v>365</v>
      </c>
    </row>
    <row r="7" customFormat="false" ht="15" hidden="false" customHeight="false" outlineLevel="0" collapsed="false">
      <c r="A7" s="14" t="s">
        <v>366</v>
      </c>
      <c r="B7" s="14" t="s">
        <v>367</v>
      </c>
      <c r="C7" s="14" t="s">
        <v>359</v>
      </c>
      <c r="D7" s="14" t="s">
        <v>83</v>
      </c>
      <c r="E7" s="14" t="s">
        <v>83</v>
      </c>
      <c r="F7" s="14" t="s">
        <v>83</v>
      </c>
      <c r="G7" s="14" t="s">
        <v>18</v>
      </c>
      <c r="H7" s="14" t="s">
        <v>34</v>
      </c>
      <c r="I7" s="14" t="s">
        <v>34</v>
      </c>
      <c r="J7" s="14" t="s">
        <v>80</v>
      </c>
      <c r="K7" s="20" t="n">
        <v>0</v>
      </c>
      <c r="L7" s="14" t="n">
        <v>0</v>
      </c>
      <c r="M7" s="14" t="s">
        <v>289</v>
      </c>
      <c r="N7" s="14" t="s">
        <v>159</v>
      </c>
      <c r="O7" s="14" t="s">
        <v>34</v>
      </c>
      <c r="P7" s="14" t="s">
        <v>34</v>
      </c>
      <c r="Q7" s="14" t="s">
        <v>79</v>
      </c>
      <c r="R7" s="14" t="s">
        <v>345</v>
      </c>
    </row>
    <row r="8" customFormat="false" ht="15" hidden="false" customHeight="false" outlineLevel="0" collapsed="false">
      <c r="A8" s="15" t="s">
        <v>368</v>
      </c>
      <c r="B8" s="15" t="s">
        <v>369</v>
      </c>
      <c r="C8" s="15" t="s">
        <v>359</v>
      </c>
      <c r="D8" s="15" t="s">
        <v>370</v>
      </c>
      <c r="E8" s="15" t="s">
        <v>371</v>
      </c>
      <c r="F8" s="15" t="s">
        <v>371</v>
      </c>
      <c r="G8" s="15" t="s">
        <v>19</v>
      </c>
      <c r="H8" s="15" t="s">
        <v>34</v>
      </c>
      <c r="I8" s="15" t="s">
        <v>34</v>
      </c>
      <c r="J8" s="15" t="s">
        <v>173</v>
      </c>
      <c r="K8" s="19" t="n">
        <v>0</v>
      </c>
      <c r="L8" s="15" t="n">
        <v>0</v>
      </c>
      <c r="M8" s="15" t="s">
        <v>279</v>
      </c>
      <c r="N8" s="15" t="s">
        <v>159</v>
      </c>
      <c r="O8" s="15" t="s">
        <v>279</v>
      </c>
      <c r="P8" s="15" t="s">
        <v>372</v>
      </c>
      <c r="Q8" s="15" t="s">
        <v>96</v>
      </c>
      <c r="R8" s="15" t="s">
        <v>373</v>
      </c>
    </row>
    <row r="9" customFormat="false" ht="15" hidden="false" customHeight="false" outlineLevel="0" collapsed="false">
      <c r="A9" s="14" t="s">
        <v>374</v>
      </c>
      <c r="B9" s="14" t="s">
        <v>375</v>
      </c>
      <c r="C9" s="14" t="s">
        <v>186</v>
      </c>
      <c r="D9" s="14" t="s">
        <v>376</v>
      </c>
      <c r="E9" s="14" t="s">
        <v>376</v>
      </c>
      <c r="F9" s="14" t="s">
        <v>376</v>
      </c>
      <c r="G9" s="14" t="s">
        <v>18</v>
      </c>
      <c r="H9" s="14" t="s">
        <v>34</v>
      </c>
      <c r="I9" s="14" t="s">
        <v>34</v>
      </c>
      <c r="J9" s="14" t="s">
        <v>183</v>
      </c>
      <c r="K9" s="20" t="n">
        <v>1</v>
      </c>
      <c r="L9" s="14" t="n">
        <v>6.5</v>
      </c>
      <c r="M9" s="14" t="s">
        <v>102</v>
      </c>
      <c r="N9" s="14" t="s">
        <v>159</v>
      </c>
      <c r="O9" s="14" t="s">
        <v>34</v>
      </c>
      <c r="P9" s="14" t="s">
        <v>34</v>
      </c>
      <c r="Q9" s="14" t="s">
        <v>106</v>
      </c>
      <c r="R9" s="14" t="s">
        <v>377</v>
      </c>
    </row>
    <row r="10" customFormat="false" ht="15" hidden="false" customHeight="false" outlineLevel="0" collapsed="false">
      <c r="A10" s="15" t="s">
        <v>378</v>
      </c>
      <c r="B10" s="15" t="s">
        <v>103</v>
      </c>
      <c r="C10" s="15" t="s">
        <v>198</v>
      </c>
      <c r="D10" s="15" t="s">
        <v>379</v>
      </c>
      <c r="E10" s="15" t="s">
        <v>380</v>
      </c>
      <c r="F10" s="15" t="s">
        <v>381</v>
      </c>
      <c r="G10" s="15" t="s">
        <v>19</v>
      </c>
      <c r="H10" s="15" t="s">
        <v>382</v>
      </c>
      <c r="I10" s="15" t="s">
        <v>34</v>
      </c>
      <c r="J10" s="15" t="s">
        <v>276</v>
      </c>
      <c r="K10" s="19" t="n">
        <v>0</v>
      </c>
      <c r="L10" s="15" t="n">
        <v>0</v>
      </c>
      <c r="M10" s="15" t="s">
        <v>279</v>
      </c>
      <c r="N10" s="15" t="s">
        <v>159</v>
      </c>
      <c r="O10" s="15" t="s">
        <v>279</v>
      </c>
      <c r="P10" s="15" t="s">
        <v>383</v>
      </c>
      <c r="Q10" s="15" t="s">
        <v>79</v>
      </c>
      <c r="R10" s="15" t="s">
        <v>384</v>
      </c>
    </row>
    <row r="11" customFormat="false" ht="15" hidden="false" customHeight="false" outlineLevel="0" collapsed="false">
      <c r="A11" s="14" t="s">
        <v>385</v>
      </c>
      <c r="B11" s="14" t="s">
        <v>386</v>
      </c>
      <c r="C11" s="14" t="s">
        <v>198</v>
      </c>
      <c r="D11" s="14" t="s">
        <v>387</v>
      </c>
      <c r="E11" s="14" t="s">
        <v>388</v>
      </c>
      <c r="F11" s="14" t="s">
        <v>388</v>
      </c>
      <c r="G11" s="14" t="s">
        <v>19</v>
      </c>
      <c r="H11" s="14" t="s">
        <v>34</v>
      </c>
      <c r="I11" s="14" t="s">
        <v>34</v>
      </c>
      <c r="J11" s="14" t="s">
        <v>173</v>
      </c>
      <c r="K11" s="20" t="n">
        <v>0</v>
      </c>
      <c r="L11" s="14" t="n">
        <v>0</v>
      </c>
      <c r="M11" s="14" t="s">
        <v>102</v>
      </c>
      <c r="N11" s="14" t="s">
        <v>159</v>
      </c>
      <c r="O11" s="14" t="s">
        <v>279</v>
      </c>
      <c r="P11" s="14" t="s">
        <v>389</v>
      </c>
      <c r="Q11" s="14" t="s">
        <v>96</v>
      </c>
      <c r="R11" s="14" t="s">
        <v>390</v>
      </c>
    </row>
  </sheetData>
  <autoFilter ref="A1:R11"/>
  <conditionalFormatting sqref="G2:G500">
    <cfRule type="expression" priority="2" aboveAverage="0" equalAverage="0" bottom="0" percent="0" rank="0" text="" dxfId="17">
      <formula>$G2="Current"</formula>
    </cfRule>
    <cfRule type="expression" priority="3" aboveAverage="0" equalAverage="0" bottom="0" percent="0" rank="0" text="" dxfId="16">
      <formula>$G2="Update Available"</formula>
    </cfRule>
    <cfRule type="expression" priority="4" aboveAverage="0" equalAverage="0" bottom="0" percent="0" rank="0" text="" dxfId="9">
      <formula>$G2="Major Behind"</formula>
    </cfRule>
    <cfRule type="expression" priority="5" aboveAverage="0" equalAverage="0" bottom="0" percent="0" rank="0" text="" dxfId="8">
      <formula>OR($G2="Unsupported",$G2="EOL")</formula>
    </cfRule>
  </conditionalFormatting>
  <conditionalFormatting sqref="K2:K500">
    <cfRule type="colorScale" priority="6">
      <colorScale>
        <cfvo type="num" val="0"/>
        <cfvo type="num" val="5"/>
        <color rgb="FF38A169"/>
        <color rgb="FFE53E3E"/>
      </colorScale>
    </cfRule>
  </conditionalFormatting>
  <dataValidations count="5">
    <dataValidation allowBlank="true" error="Please select from the list" errorStyle="stop" errorTitle="Invalid Entry" operator="between" showDropDown="false" showErrorMessage="false" showInputMessage="false" sqref="C2:C500" type="list">
      <formula1>"Frontend,Backend,Runtime,Database,Data,DevOps,Security,Monitoring,Cache,Queue"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G2:G500" type="list">
      <formula1>"Current,Update Available,Major Behind,Unsupported,EOL"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M2:M500" type="list">
      <formula1>"None,Low,Medium,High,Critical"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N2:N500" type="list">
      <formula1>"Yes,No,Unknown"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O2:O500" type="list">
      <formula1>"Low,Medium,High,Very 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3E3E"/>
    <pageSetUpPr fitToPage="false"/>
  </sheetPr>
  <dimension ref="A1:W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5"/>
    <col collapsed="false" customWidth="true" hidden="false" outlineLevel="0" max="4" min="4" style="0" width="45"/>
    <col collapsed="false" customWidth="true" hidden="false" outlineLevel="0" max="6" min="5" style="0" width="10"/>
    <col collapsed="false" customWidth="true" hidden="false" outlineLevel="0" max="7" min="7" style="0" width="45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5"/>
    <col collapsed="false" customWidth="true" hidden="false" outlineLevel="0" max="13" min="13" style="0" width="14"/>
    <col collapsed="false" customWidth="true" hidden="false" outlineLevel="0" max="15" min="14" style="0" width="10"/>
    <col collapsed="false" customWidth="true" hidden="false" outlineLevel="0" max="17" min="16" style="0" width="14"/>
    <col collapsed="false" customWidth="true" hidden="false" outlineLevel="0" max="18" min="18" style="0" width="12"/>
    <col collapsed="false" customWidth="true" hidden="false" outlineLevel="0" max="20" min="19" style="0" width="14"/>
    <col collapsed="false" customWidth="true" hidden="false" outlineLevel="0" max="21" min="21" style="0" width="30"/>
    <col collapsed="false" customWidth="true" hidden="false" outlineLevel="0" max="22" min="22" style="0" width="15"/>
    <col collapsed="false" customWidth="true" hidden="false" outlineLevel="0" max="23" min="23" style="0" width="40"/>
  </cols>
  <sheetData>
    <row r="1" customFormat="false" ht="31.5" hidden="false" customHeight="true" outlineLevel="0" collapsed="false">
      <c r="A1" s="13" t="s">
        <v>391</v>
      </c>
      <c r="B1" s="13" t="s">
        <v>392</v>
      </c>
      <c r="C1" s="13" t="s">
        <v>393</v>
      </c>
      <c r="D1" s="13" t="s">
        <v>116</v>
      </c>
      <c r="E1" s="13" t="s">
        <v>76</v>
      </c>
      <c r="F1" s="13" t="s">
        <v>394</v>
      </c>
      <c r="G1" s="13" t="s">
        <v>395</v>
      </c>
      <c r="H1" s="13" t="s">
        <v>396</v>
      </c>
      <c r="I1" s="13" t="s">
        <v>397</v>
      </c>
      <c r="J1" s="13" t="s">
        <v>398</v>
      </c>
      <c r="K1" s="13" t="s">
        <v>399</v>
      </c>
      <c r="L1" s="13" t="s">
        <v>28</v>
      </c>
      <c r="M1" s="13" t="s">
        <v>400</v>
      </c>
      <c r="N1" s="13" t="s">
        <v>401</v>
      </c>
      <c r="O1" s="13" t="s">
        <v>402</v>
      </c>
      <c r="P1" s="13" t="s">
        <v>403</v>
      </c>
      <c r="Q1" s="13" t="s">
        <v>404</v>
      </c>
      <c r="R1" s="13" t="s">
        <v>405</v>
      </c>
      <c r="S1" s="13" t="s">
        <v>77</v>
      </c>
      <c r="T1" s="13" t="s">
        <v>406</v>
      </c>
      <c r="U1" s="13" t="s">
        <v>407</v>
      </c>
      <c r="V1" s="13" t="s">
        <v>408</v>
      </c>
      <c r="W1" s="13" t="s">
        <v>135</v>
      </c>
    </row>
    <row r="2" customFormat="false" ht="15" hidden="false" customHeight="false" outlineLevel="0" collapsed="false">
      <c r="A2" s="15" t="s">
        <v>409</v>
      </c>
      <c r="B2" s="15" t="s">
        <v>410</v>
      </c>
      <c r="C2" s="15" t="s">
        <v>411</v>
      </c>
      <c r="D2" s="15" t="s">
        <v>412</v>
      </c>
      <c r="E2" s="15" t="s">
        <v>9</v>
      </c>
      <c r="F2" s="21" t="n">
        <v>9.8</v>
      </c>
      <c r="G2" s="15" t="s">
        <v>413</v>
      </c>
      <c r="H2" s="15" t="s">
        <v>414</v>
      </c>
      <c r="I2" s="15" t="s">
        <v>415</v>
      </c>
      <c r="J2" s="15" t="s">
        <v>416</v>
      </c>
      <c r="K2" s="15" t="s">
        <v>159</v>
      </c>
      <c r="L2" s="15" t="s">
        <v>34</v>
      </c>
      <c r="M2" s="15" t="s">
        <v>147</v>
      </c>
      <c r="N2" s="15" t="s">
        <v>147</v>
      </c>
      <c r="O2" s="15" t="n">
        <v>0.97</v>
      </c>
      <c r="P2" s="15" t="s">
        <v>147</v>
      </c>
      <c r="Q2" s="15" t="s">
        <v>417</v>
      </c>
      <c r="R2" s="15" t="s">
        <v>418</v>
      </c>
      <c r="S2" s="15" t="s">
        <v>419</v>
      </c>
      <c r="T2" s="15" t="s">
        <v>34</v>
      </c>
      <c r="U2" s="15" t="s">
        <v>34</v>
      </c>
      <c r="V2" s="15" t="s">
        <v>34</v>
      </c>
      <c r="W2" s="15" t="s">
        <v>420</v>
      </c>
    </row>
    <row r="3" customFormat="false" ht="15" hidden="false" customHeight="false" outlineLevel="0" collapsed="false">
      <c r="A3" s="14" t="s">
        <v>421</v>
      </c>
      <c r="B3" s="14" t="s">
        <v>422</v>
      </c>
      <c r="C3" s="14" t="s">
        <v>423</v>
      </c>
      <c r="D3" s="14" t="s">
        <v>424</v>
      </c>
      <c r="E3" s="14" t="s">
        <v>9</v>
      </c>
      <c r="F3" s="22" t="n">
        <v>10</v>
      </c>
      <c r="G3" s="14" t="s">
        <v>425</v>
      </c>
      <c r="H3" s="14" t="s">
        <v>426</v>
      </c>
      <c r="I3" s="14" t="s">
        <v>427</v>
      </c>
      <c r="J3" s="14" t="s">
        <v>416</v>
      </c>
      <c r="K3" s="14" t="s">
        <v>159</v>
      </c>
      <c r="L3" s="14" t="s">
        <v>34</v>
      </c>
      <c r="M3" s="14" t="s">
        <v>147</v>
      </c>
      <c r="N3" s="14" t="s">
        <v>147</v>
      </c>
      <c r="O3" s="14" t="n">
        <v>0.99</v>
      </c>
      <c r="P3" s="14" t="s">
        <v>147</v>
      </c>
      <c r="Q3" s="14" t="s">
        <v>428</v>
      </c>
      <c r="R3" s="14" t="s">
        <v>429</v>
      </c>
      <c r="S3" s="14" t="s">
        <v>419</v>
      </c>
      <c r="T3" s="14" t="s">
        <v>34</v>
      </c>
      <c r="U3" s="14" t="s">
        <v>34</v>
      </c>
      <c r="V3" s="14" t="s">
        <v>34</v>
      </c>
      <c r="W3" s="14" t="s">
        <v>430</v>
      </c>
    </row>
    <row r="4" customFormat="false" ht="15" hidden="false" customHeight="false" outlineLevel="0" collapsed="false">
      <c r="A4" s="15" t="s">
        <v>431</v>
      </c>
      <c r="B4" s="15" t="s">
        <v>432</v>
      </c>
      <c r="C4" s="15" t="s">
        <v>433</v>
      </c>
      <c r="D4" s="15" t="s">
        <v>434</v>
      </c>
      <c r="E4" s="15" t="s">
        <v>9</v>
      </c>
      <c r="F4" s="21" t="n">
        <v>10</v>
      </c>
      <c r="G4" s="15" t="s">
        <v>425</v>
      </c>
      <c r="H4" s="15" t="s">
        <v>291</v>
      </c>
      <c r="I4" s="15" t="s">
        <v>435</v>
      </c>
      <c r="J4" s="15" t="s">
        <v>293</v>
      </c>
      <c r="K4" s="15" t="s">
        <v>159</v>
      </c>
      <c r="L4" s="15" t="s">
        <v>34</v>
      </c>
      <c r="M4" s="15" t="s">
        <v>159</v>
      </c>
      <c r="N4" s="15" t="s">
        <v>147</v>
      </c>
      <c r="O4" s="15" t="n">
        <v>0.97</v>
      </c>
      <c r="P4" s="15" t="s">
        <v>147</v>
      </c>
      <c r="Q4" s="15" t="s">
        <v>436</v>
      </c>
      <c r="R4" s="15" t="s">
        <v>437</v>
      </c>
      <c r="S4" s="15" t="s">
        <v>438</v>
      </c>
      <c r="T4" s="15" t="s">
        <v>34</v>
      </c>
      <c r="U4" s="15" t="s">
        <v>439</v>
      </c>
      <c r="V4" s="15" t="s">
        <v>286</v>
      </c>
      <c r="W4" s="15" t="s">
        <v>440</v>
      </c>
    </row>
    <row r="5" customFormat="false" ht="15" hidden="false" customHeight="false" outlineLevel="0" collapsed="false">
      <c r="A5" s="14" t="s">
        <v>441</v>
      </c>
      <c r="B5" s="14" t="s">
        <v>442</v>
      </c>
      <c r="C5" s="14" t="s">
        <v>443</v>
      </c>
      <c r="D5" s="14" t="s">
        <v>444</v>
      </c>
      <c r="E5" s="14" t="s">
        <v>10</v>
      </c>
      <c r="F5" s="22" t="n">
        <v>8.1</v>
      </c>
      <c r="G5" s="14" t="s">
        <v>445</v>
      </c>
      <c r="H5" s="14" t="s">
        <v>446</v>
      </c>
      <c r="I5" s="14" t="s">
        <v>447</v>
      </c>
      <c r="J5" s="14" t="s">
        <v>448</v>
      </c>
      <c r="K5" s="14" t="s">
        <v>147</v>
      </c>
      <c r="L5" s="14" t="s">
        <v>51</v>
      </c>
      <c r="M5" s="14" t="s">
        <v>159</v>
      </c>
      <c r="N5" s="14" t="s">
        <v>159</v>
      </c>
      <c r="O5" s="14" t="n">
        <v>0.45</v>
      </c>
      <c r="P5" s="14" t="s">
        <v>147</v>
      </c>
      <c r="Q5" s="14" t="s">
        <v>449</v>
      </c>
      <c r="R5" s="14" t="s">
        <v>450</v>
      </c>
      <c r="S5" s="14" t="s">
        <v>451</v>
      </c>
      <c r="T5" s="14" t="s">
        <v>452</v>
      </c>
      <c r="U5" s="14" t="s">
        <v>453</v>
      </c>
      <c r="V5" s="14" t="s">
        <v>286</v>
      </c>
      <c r="W5" s="14" t="s">
        <v>454</v>
      </c>
    </row>
    <row r="6" customFormat="false" ht="15" hidden="false" customHeight="false" outlineLevel="0" collapsed="false">
      <c r="A6" s="15" t="s">
        <v>455</v>
      </c>
      <c r="B6" s="15" t="s">
        <v>456</v>
      </c>
      <c r="C6" s="15" t="s">
        <v>457</v>
      </c>
      <c r="D6" s="15" t="s">
        <v>458</v>
      </c>
      <c r="E6" s="15" t="s">
        <v>10</v>
      </c>
      <c r="F6" s="21" t="n">
        <v>7.5</v>
      </c>
      <c r="G6" s="15" t="s">
        <v>459</v>
      </c>
      <c r="H6" s="15" t="s">
        <v>40</v>
      </c>
      <c r="I6" s="15" t="s">
        <v>460</v>
      </c>
      <c r="J6" s="15" t="s">
        <v>41</v>
      </c>
      <c r="K6" s="15" t="s">
        <v>147</v>
      </c>
      <c r="L6" s="15" t="s">
        <v>276</v>
      </c>
      <c r="M6" s="15" t="s">
        <v>159</v>
      </c>
      <c r="N6" s="15" t="s">
        <v>159</v>
      </c>
      <c r="O6" s="15" t="n">
        <v>0.23</v>
      </c>
      <c r="P6" s="15" t="s">
        <v>147</v>
      </c>
      <c r="Q6" s="15" t="s">
        <v>275</v>
      </c>
      <c r="R6" s="15" t="s">
        <v>461</v>
      </c>
      <c r="S6" s="15" t="s">
        <v>462</v>
      </c>
      <c r="T6" s="15" t="s">
        <v>45</v>
      </c>
      <c r="U6" s="15" t="s">
        <v>463</v>
      </c>
      <c r="V6" s="15" t="s">
        <v>282</v>
      </c>
      <c r="W6" s="15" t="s">
        <v>464</v>
      </c>
    </row>
    <row r="7" customFormat="false" ht="15" hidden="false" customHeight="false" outlineLevel="0" collapsed="false">
      <c r="A7" s="14" t="s">
        <v>465</v>
      </c>
      <c r="B7" s="14" t="s">
        <v>466</v>
      </c>
      <c r="C7" s="14" t="s">
        <v>467</v>
      </c>
      <c r="D7" s="14" t="s">
        <v>468</v>
      </c>
      <c r="E7" s="14" t="s">
        <v>10</v>
      </c>
      <c r="F7" s="22" t="n">
        <v>7.5</v>
      </c>
      <c r="G7" s="14" t="s">
        <v>459</v>
      </c>
      <c r="H7" s="14" t="s">
        <v>331</v>
      </c>
      <c r="I7" s="14" t="s">
        <v>469</v>
      </c>
      <c r="J7" s="14" t="s">
        <v>332</v>
      </c>
      <c r="K7" s="14" t="s">
        <v>159</v>
      </c>
      <c r="L7" s="14" t="s">
        <v>34</v>
      </c>
      <c r="M7" s="14" t="s">
        <v>159</v>
      </c>
      <c r="N7" s="14" t="s">
        <v>159</v>
      </c>
      <c r="O7" s="14" t="n">
        <v>0.35</v>
      </c>
      <c r="P7" s="14" t="s">
        <v>147</v>
      </c>
      <c r="Q7" s="14" t="s">
        <v>470</v>
      </c>
      <c r="R7" s="14" t="s">
        <v>471</v>
      </c>
      <c r="S7" s="14" t="s">
        <v>438</v>
      </c>
      <c r="T7" s="14" t="s">
        <v>34</v>
      </c>
      <c r="U7" s="14" t="s">
        <v>472</v>
      </c>
      <c r="V7" s="14" t="s">
        <v>286</v>
      </c>
      <c r="W7" s="14" t="s">
        <v>112</v>
      </c>
    </row>
    <row r="8" customFormat="false" ht="15" hidden="false" customHeight="false" outlineLevel="0" collapsed="false">
      <c r="A8" s="15" t="s">
        <v>473</v>
      </c>
      <c r="B8" s="15" t="s">
        <v>474</v>
      </c>
      <c r="C8" s="15" t="s">
        <v>475</v>
      </c>
      <c r="D8" s="15" t="s">
        <v>476</v>
      </c>
      <c r="E8" s="15" t="s">
        <v>102</v>
      </c>
      <c r="F8" s="21" t="n">
        <v>5.3</v>
      </c>
      <c r="G8" s="15" t="s">
        <v>477</v>
      </c>
      <c r="H8" s="15" t="s">
        <v>303</v>
      </c>
      <c r="I8" s="15" t="s">
        <v>478</v>
      </c>
      <c r="J8" s="15" t="s">
        <v>55</v>
      </c>
      <c r="K8" s="15" t="s">
        <v>159</v>
      </c>
      <c r="L8" s="15" t="s">
        <v>34</v>
      </c>
      <c r="M8" s="15" t="s">
        <v>159</v>
      </c>
      <c r="N8" s="15" t="s">
        <v>159</v>
      </c>
      <c r="O8" s="15" t="n">
        <v>0.12</v>
      </c>
      <c r="P8" s="15" t="s">
        <v>147</v>
      </c>
      <c r="Q8" s="15" t="s">
        <v>55</v>
      </c>
      <c r="R8" s="15" t="s">
        <v>479</v>
      </c>
      <c r="S8" s="15" t="s">
        <v>438</v>
      </c>
      <c r="T8" s="15" t="s">
        <v>34</v>
      </c>
      <c r="U8" s="15" t="s">
        <v>480</v>
      </c>
      <c r="V8" s="15" t="s">
        <v>34</v>
      </c>
      <c r="W8" s="15" t="s">
        <v>481</v>
      </c>
    </row>
    <row r="9" customFormat="false" ht="15" hidden="false" customHeight="false" outlineLevel="0" collapsed="false">
      <c r="A9" s="14" t="s">
        <v>482</v>
      </c>
      <c r="B9" s="14" t="s">
        <v>483</v>
      </c>
      <c r="C9" s="14" t="s">
        <v>484</v>
      </c>
      <c r="D9" s="14" t="s">
        <v>485</v>
      </c>
      <c r="E9" s="14" t="s">
        <v>10</v>
      </c>
      <c r="F9" s="22" t="n">
        <v>7.5</v>
      </c>
      <c r="G9" s="14" t="s">
        <v>486</v>
      </c>
      <c r="H9" s="14" t="s">
        <v>93</v>
      </c>
      <c r="I9" s="14" t="s">
        <v>487</v>
      </c>
      <c r="J9" s="14" t="s">
        <v>354</v>
      </c>
      <c r="K9" s="14" t="s">
        <v>147</v>
      </c>
      <c r="L9" s="14" t="s">
        <v>284</v>
      </c>
      <c r="M9" s="14" t="s">
        <v>159</v>
      </c>
      <c r="N9" s="14" t="s">
        <v>159</v>
      </c>
      <c r="O9" s="14" t="n">
        <v>0.55</v>
      </c>
      <c r="P9" s="14" t="s">
        <v>147</v>
      </c>
      <c r="Q9" s="14" t="s">
        <v>488</v>
      </c>
      <c r="R9" s="14" t="s">
        <v>489</v>
      </c>
      <c r="S9" s="14" t="s">
        <v>462</v>
      </c>
      <c r="T9" s="14" t="s">
        <v>490</v>
      </c>
      <c r="U9" s="14" t="s">
        <v>491</v>
      </c>
      <c r="V9" s="14" t="s">
        <v>492</v>
      </c>
      <c r="W9" s="14" t="s">
        <v>493</v>
      </c>
    </row>
  </sheetData>
  <autoFilter ref="A1:W9"/>
  <conditionalFormatting sqref="E2:E500">
    <cfRule type="expression" priority="2" aboveAverage="0" equalAverage="0" bottom="0" percent="0" rank="0" text="" dxfId="8">
      <formula>$E2="Critical"</formula>
    </cfRule>
    <cfRule type="expression" priority="3" aboveAverage="0" equalAverage="0" bottom="0" percent="0" rank="0" text="" dxfId="9">
      <formula>$E2="High"</formula>
    </cfRule>
    <cfRule type="expression" priority="4" aboveAverage="0" equalAverage="0" bottom="0" percent="0" rank="0" text="" dxfId="22">
      <formula>$E2="Medium"</formula>
    </cfRule>
    <cfRule type="expression" priority="5" aboveAverage="0" equalAverage="0" bottom="0" percent="0" rank="0" text="" dxfId="23">
      <formula>$E2="Low"</formula>
    </cfRule>
  </conditionalFormatting>
  <conditionalFormatting sqref="K2:K500">
    <cfRule type="expression" priority="6" aboveAverage="0" equalAverage="0" bottom="0" percent="0" rank="0" text="" dxfId="8">
      <formula>$K2="Yes"</formula>
    </cfRule>
    <cfRule type="expression" priority="7" aboveAverage="0" equalAverage="0" bottom="0" percent="0" rank="0" text="" dxfId="17">
      <formula>$K2="No"</formula>
    </cfRule>
    <cfRule type="expression" priority="8" aboveAverage="0" equalAverage="0" bottom="0" percent="0" rank="0" text="" dxfId="16">
      <formula>$K2="Investigating"</formula>
    </cfRule>
  </conditionalFormatting>
  <conditionalFormatting sqref="S2:S500">
    <cfRule type="expression" priority="9" aboveAverage="0" equalAverage="0" bottom="0" percent="0" rank="0" text="" dxfId="8">
      <formula>$S2="Open"</formula>
    </cfRule>
    <cfRule type="expression" priority="10" aboveAverage="0" equalAverage="0" bottom="0" percent="0" rank="0" text="" dxfId="16">
      <formula>$S2="In Progress"</formula>
    </cfRule>
    <cfRule type="expression" priority="11" aboveAverage="0" equalAverage="0" bottom="0" percent="0" rank="0" text="" dxfId="17">
      <formula>$S2="Resolved"</formula>
    </cfRule>
  </conditionalFormatting>
  <conditionalFormatting sqref="F2:F500">
    <cfRule type="dataBar" priority="12">
      <dataBar showValue="1" minLength="10" maxLength="90">
        <cfvo type="num" val="0"/>
        <cfvo type="num" val="10"/>
        <color rgb="FFE53E3E"/>
      </dataBar>
      <extLst>
        <ext xmlns:x14="http://schemas.microsoft.com/office/spreadsheetml/2009/9/main" uri="{B025F937-C7B1-47D3-B67F-A62EFF666E3E}">
          <x14:id>{C02CC3E3-AE45-4782-92F0-5DAB718C845C}</x14:id>
        </ext>
      </extLst>
    </cfRule>
  </conditionalFormatting>
  <dataValidations count="6">
    <dataValidation allowBlank="true" error="Please select from the list" errorStyle="stop" errorTitle="Invalid Entry" operator="between" showDropDown="false" showErrorMessage="false" showInputMessage="false" sqref="E2:E500" type="list">
      <formula1>"Critical,High,Medium,Low,Informational"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K2:K500" type="list">
      <formula1>"Yes,No,Investigating,Unknown"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M2:M500" type="list">
      <formula1>"Yes,No,Unknown,PoC Only"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N2:N500" type="list">
      <formula1>"Yes,No"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P2:P500" type="list">
      <formula1>"Yes,No,Partial,Workaround"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S2:S500" type="list">
      <formula1>"Open,In Progress,Resolved,Not Applicable,Accepted Risk,Investigating"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2CC3E3-AE45-4782-92F0-5DAB718C845C}">
            <x14:dataBar minLength="10" maxLength="90" axisPosition="none" gradient="true">
              <x14:cfvo type="num">
                <xm:f>0</xm:f>
              </x14:cfvo>
              <x14:cfvo type="num">
                <xm:f>10</xm:f>
              </x14:cfvo>
              <x14:negativeFillColor rgb="FFE53E3E"/>
              <x14:axisColor rgb="FF000000"/>
            </x14:dataBar>
          </x14:cfRule>
          <xm:sqref>F2:F500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299E1"/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8" min="3" style="0" width="12"/>
    <col collapsed="false" customWidth="true" hidden="false" outlineLevel="0" max="10" min="9" style="0" width="10"/>
    <col collapsed="false" customWidth="true" hidden="false" outlineLevel="0" max="11" min="11" style="0" width="30"/>
  </cols>
  <sheetData>
    <row r="1" customFormat="false" ht="27.75" hidden="false" customHeight="true" outlineLevel="0" collapsed="false">
      <c r="A1" s="3" t="s">
        <v>494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customFormat="false" ht="31.5" hidden="false" customHeight="true" outlineLevel="0" collapsed="false">
      <c r="A3" s="13" t="s">
        <v>71</v>
      </c>
      <c r="B3" s="13" t="s">
        <v>24</v>
      </c>
      <c r="C3" s="13" t="s">
        <v>495</v>
      </c>
      <c r="D3" s="13" t="s">
        <v>80</v>
      </c>
      <c r="E3" s="13" t="s">
        <v>64</v>
      </c>
      <c r="F3" s="13" t="s">
        <v>51</v>
      </c>
      <c r="G3" s="13" t="s">
        <v>173</v>
      </c>
      <c r="H3" s="13" t="s">
        <v>183</v>
      </c>
      <c r="I3" s="13" t="s">
        <v>496</v>
      </c>
      <c r="J3" s="13" t="s">
        <v>497</v>
      </c>
      <c r="K3" s="13" t="s">
        <v>135</v>
      </c>
    </row>
    <row r="4" customFormat="false" ht="15" hidden="false" customHeight="false" outlineLevel="0" collapsed="false">
      <c r="A4" s="15" t="s">
        <v>40</v>
      </c>
      <c r="B4" s="15" t="s">
        <v>274</v>
      </c>
      <c r="C4" s="15" t="s">
        <v>275</v>
      </c>
      <c r="D4" s="15" t="s">
        <v>41</v>
      </c>
      <c r="E4" s="15" t="s">
        <v>41</v>
      </c>
      <c r="F4" s="15" t="s">
        <v>34</v>
      </c>
      <c r="G4" s="15" t="s">
        <v>34</v>
      </c>
      <c r="H4" s="15" t="s">
        <v>34</v>
      </c>
      <c r="I4" s="19" t="n">
        <v>2</v>
      </c>
      <c r="J4" s="15" t="s">
        <v>10</v>
      </c>
      <c r="K4" s="15" t="s">
        <v>498</v>
      </c>
    </row>
    <row r="5" customFormat="false" ht="15" hidden="false" customHeight="false" outlineLevel="0" collapsed="false">
      <c r="A5" s="14" t="s">
        <v>107</v>
      </c>
      <c r="B5" s="14" t="s">
        <v>274</v>
      </c>
      <c r="C5" s="14" t="s">
        <v>109</v>
      </c>
      <c r="D5" s="14" t="s">
        <v>109</v>
      </c>
      <c r="E5" s="14" t="s">
        <v>499</v>
      </c>
      <c r="F5" s="14" t="s">
        <v>34</v>
      </c>
      <c r="G5" s="14" t="s">
        <v>109</v>
      </c>
      <c r="H5" s="14" t="s">
        <v>34</v>
      </c>
      <c r="I5" s="20" t="n">
        <v>1</v>
      </c>
      <c r="J5" s="14" t="s">
        <v>279</v>
      </c>
      <c r="K5" s="14" t="s">
        <v>500</v>
      </c>
    </row>
    <row r="6" customFormat="false" ht="15" hidden="false" customHeight="false" outlineLevel="0" collapsed="false">
      <c r="A6" s="15" t="s">
        <v>81</v>
      </c>
      <c r="B6" s="15" t="s">
        <v>274</v>
      </c>
      <c r="C6" s="15" t="s">
        <v>83</v>
      </c>
      <c r="D6" s="15" t="s">
        <v>82</v>
      </c>
      <c r="E6" s="15" t="s">
        <v>34</v>
      </c>
      <c r="F6" s="15" t="s">
        <v>34</v>
      </c>
      <c r="G6" s="15" t="s">
        <v>34</v>
      </c>
      <c r="H6" s="15" t="s">
        <v>34</v>
      </c>
      <c r="I6" s="19" t="n">
        <v>1</v>
      </c>
      <c r="J6" s="15" t="s">
        <v>102</v>
      </c>
      <c r="K6" s="15" t="s">
        <v>501</v>
      </c>
    </row>
    <row r="7" customFormat="false" ht="15" hidden="false" customHeight="false" outlineLevel="0" collapsed="false">
      <c r="A7" s="14" t="s">
        <v>288</v>
      </c>
      <c r="B7" s="14" t="s">
        <v>274</v>
      </c>
      <c r="C7" s="14" t="s">
        <v>90</v>
      </c>
      <c r="D7" s="14" t="s">
        <v>90</v>
      </c>
      <c r="E7" s="14" t="s">
        <v>34</v>
      </c>
      <c r="F7" s="14" t="s">
        <v>34</v>
      </c>
      <c r="G7" s="14" t="s">
        <v>34</v>
      </c>
      <c r="H7" s="14" t="s">
        <v>34</v>
      </c>
      <c r="I7" s="20" t="n">
        <v>0</v>
      </c>
      <c r="J7" s="14" t="s">
        <v>289</v>
      </c>
      <c r="K7" s="14" t="s">
        <v>18</v>
      </c>
    </row>
    <row r="8" customFormat="false" ht="15" hidden="false" customHeight="false" outlineLevel="0" collapsed="false">
      <c r="A8" s="15" t="s">
        <v>502</v>
      </c>
      <c r="B8" s="15" t="s">
        <v>274</v>
      </c>
      <c r="C8" s="15" t="s">
        <v>349</v>
      </c>
      <c r="D8" s="15" t="s">
        <v>34</v>
      </c>
      <c r="E8" s="15" t="s">
        <v>348</v>
      </c>
      <c r="F8" s="15" t="s">
        <v>34</v>
      </c>
      <c r="G8" s="15" t="s">
        <v>34</v>
      </c>
      <c r="H8" s="15" t="s">
        <v>34</v>
      </c>
      <c r="I8" s="19" t="n">
        <v>1</v>
      </c>
      <c r="J8" s="15" t="s">
        <v>279</v>
      </c>
      <c r="K8" s="15" t="s">
        <v>503</v>
      </c>
    </row>
    <row r="9" customFormat="false" ht="15" hidden="false" customHeight="false" outlineLevel="0" collapsed="false">
      <c r="A9" s="14" t="s">
        <v>309</v>
      </c>
      <c r="B9" s="14" t="s">
        <v>310</v>
      </c>
      <c r="C9" s="14" t="s">
        <v>99</v>
      </c>
      <c r="D9" s="14" t="s">
        <v>34</v>
      </c>
      <c r="E9" s="14" t="s">
        <v>99</v>
      </c>
      <c r="F9" s="14" t="s">
        <v>34</v>
      </c>
      <c r="G9" s="14" t="s">
        <v>34</v>
      </c>
      <c r="H9" s="14" t="s">
        <v>34</v>
      </c>
      <c r="I9" s="20" t="n">
        <v>0</v>
      </c>
      <c r="J9" s="14" t="s">
        <v>289</v>
      </c>
      <c r="K9" s="14" t="s">
        <v>18</v>
      </c>
    </row>
    <row r="10" customFormat="false" ht="15" hidden="false" customHeight="false" outlineLevel="0" collapsed="false">
      <c r="A10" s="15" t="s">
        <v>504</v>
      </c>
      <c r="B10" s="15" t="s">
        <v>292</v>
      </c>
      <c r="C10" s="15" t="s">
        <v>300</v>
      </c>
      <c r="D10" s="15" t="s">
        <v>34</v>
      </c>
      <c r="E10" s="15" t="s">
        <v>34</v>
      </c>
      <c r="F10" s="15" t="s">
        <v>49</v>
      </c>
      <c r="G10" s="15" t="s">
        <v>34</v>
      </c>
      <c r="H10" s="15" t="s">
        <v>34</v>
      </c>
      <c r="I10" s="19" t="n">
        <v>3</v>
      </c>
      <c r="J10" s="15" t="s">
        <v>9</v>
      </c>
      <c r="K10" s="15" t="s">
        <v>505</v>
      </c>
    </row>
    <row r="11" customFormat="false" ht="15" hidden="false" customHeight="false" outlineLevel="0" collapsed="false">
      <c r="A11" s="14" t="s">
        <v>291</v>
      </c>
      <c r="B11" s="14" t="s">
        <v>292</v>
      </c>
      <c r="C11" s="14" t="s">
        <v>294</v>
      </c>
      <c r="D11" s="14" t="s">
        <v>34</v>
      </c>
      <c r="E11" s="14" t="s">
        <v>34</v>
      </c>
      <c r="F11" s="14" t="s">
        <v>293</v>
      </c>
      <c r="G11" s="14" t="s">
        <v>34</v>
      </c>
      <c r="H11" s="14" t="s">
        <v>34</v>
      </c>
      <c r="I11" s="20" t="n">
        <v>2</v>
      </c>
      <c r="J11" s="14" t="s">
        <v>10</v>
      </c>
      <c r="K11" s="14" t="s">
        <v>506</v>
      </c>
    </row>
    <row r="12" customFormat="false" ht="15" hidden="false" customHeight="false" outlineLevel="0" collapsed="false">
      <c r="A12" s="15" t="s">
        <v>507</v>
      </c>
      <c r="B12" s="15" t="s">
        <v>310</v>
      </c>
      <c r="C12" s="15" t="s">
        <v>371</v>
      </c>
      <c r="D12" s="15" t="s">
        <v>34</v>
      </c>
      <c r="E12" s="15" t="s">
        <v>34</v>
      </c>
      <c r="F12" s="15" t="s">
        <v>34</v>
      </c>
      <c r="G12" s="15" t="s">
        <v>370</v>
      </c>
      <c r="H12" s="15" t="s">
        <v>34</v>
      </c>
      <c r="I12" s="19" t="n">
        <v>1</v>
      </c>
      <c r="J12" s="15" t="s">
        <v>279</v>
      </c>
      <c r="K12" s="15" t="s">
        <v>384</v>
      </c>
    </row>
    <row r="13" customFormat="false" ht="15" hidden="false" customHeight="false" outlineLevel="0" collapsed="false">
      <c r="A13" s="14" t="s">
        <v>326</v>
      </c>
      <c r="B13" s="14" t="s">
        <v>327</v>
      </c>
      <c r="C13" s="14" t="s">
        <v>328</v>
      </c>
      <c r="D13" s="14" t="s">
        <v>34</v>
      </c>
      <c r="E13" s="14" t="s">
        <v>34</v>
      </c>
      <c r="F13" s="14" t="s">
        <v>34</v>
      </c>
      <c r="G13" s="14" t="s">
        <v>328</v>
      </c>
      <c r="H13" s="14" t="s">
        <v>34</v>
      </c>
      <c r="I13" s="20" t="n">
        <v>0</v>
      </c>
      <c r="J13" s="14" t="s">
        <v>289</v>
      </c>
      <c r="K13" s="14" t="s">
        <v>18</v>
      </c>
    </row>
    <row r="14" customFormat="false" ht="15" hidden="false" customHeight="false" outlineLevel="0" collapsed="false">
      <c r="A14" s="15" t="s">
        <v>508</v>
      </c>
      <c r="B14" s="15" t="s">
        <v>310</v>
      </c>
      <c r="C14" s="15" t="s">
        <v>376</v>
      </c>
      <c r="D14" s="15" t="s">
        <v>34</v>
      </c>
      <c r="E14" s="15" t="s">
        <v>34</v>
      </c>
      <c r="F14" s="15" t="s">
        <v>34</v>
      </c>
      <c r="G14" s="15" t="s">
        <v>34</v>
      </c>
      <c r="H14" s="15" t="s">
        <v>376</v>
      </c>
      <c r="I14" s="19" t="n">
        <v>0</v>
      </c>
      <c r="J14" s="15" t="s">
        <v>289</v>
      </c>
      <c r="K14" s="15" t="s">
        <v>18</v>
      </c>
    </row>
    <row r="15" customFormat="false" ht="15" hidden="false" customHeight="false" outlineLevel="0" collapsed="false">
      <c r="A15" s="14" t="s">
        <v>93</v>
      </c>
      <c r="B15" s="14" t="s">
        <v>509</v>
      </c>
      <c r="C15" s="14" t="s">
        <v>354</v>
      </c>
      <c r="D15" s="14" t="s">
        <v>354</v>
      </c>
      <c r="E15" s="14" t="s">
        <v>34</v>
      </c>
      <c r="F15" s="14" t="s">
        <v>34</v>
      </c>
      <c r="G15" s="14" t="s">
        <v>354</v>
      </c>
      <c r="H15" s="14" t="s">
        <v>34</v>
      </c>
      <c r="I15" s="20" t="n">
        <v>0</v>
      </c>
      <c r="J15" s="14" t="s">
        <v>289</v>
      </c>
      <c r="K15" s="14" t="s">
        <v>510</v>
      </c>
    </row>
    <row r="16" customFormat="false" ht="15" hidden="false" customHeight="false" outlineLevel="0" collapsed="false">
      <c r="A16" s="15" t="s">
        <v>511</v>
      </c>
      <c r="B16" s="15" t="s">
        <v>509</v>
      </c>
      <c r="C16" s="15" t="s">
        <v>512</v>
      </c>
      <c r="D16" s="15" t="s">
        <v>34</v>
      </c>
      <c r="E16" s="15" t="s">
        <v>513</v>
      </c>
      <c r="F16" s="15" t="s">
        <v>34</v>
      </c>
      <c r="G16" s="15" t="s">
        <v>513</v>
      </c>
      <c r="H16" s="15" t="s">
        <v>513</v>
      </c>
      <c r="I16" s="19" t="n">
        <v>1</v>
      </c>
      <c r="J16" s="15" t="s">
        <v>279</v>
      </c>
      <c r="K16" s="15" t="s">
        <v>514</v>
      </c>
    </row>
    <row r="17" customFormat="false" ht="15" hidden="false" customHeight="false" outlineLevel="0" collapsed="false">
      <c r="A17" s="14" t="s">
        <v>515</v>
      </c>
      <c r="B17" s="14" t="s">
        <v>509</v>
      </c>
      <c r="C17" s="14" t="s">
        <v>516</v>
      </c>
      <c r="D17" s="14" t="s">
        <v>34</v>
      </c>
      <c r="E17" s="14" t="s">
        <v>34</v>
      </c>
      <c r="F17" s="14" t="s">
        <v>517</v>
      </c>
      <c r="G17" s="14" t="s">
        <v>34</v>
      </c>
      <c r="H17" s="14" t="s">
        <v>34</v>
      </c>
      <c r="I17" s="20" t="n">
        <v>1</v>
      </c>
      <c r="J17" s="14" t="s">
        <v>279</v>
      </c>
      <c r="K17" s="14" t="s">
        <v>518</v>
      </c>
    </row>
    <row r="18" customFormat="false" ht="15" hidden="false" customHeight="false" outlineLevel="0" collapsed="false">
      <c r="A18" s="15" t="s">
        <v>103</v>
      </c>
      <c r="B18" s="15" t="s">
        <v>519</v>
      </c>
      <c r="C18" s="15" t="s">
        <v>381</v>
      </c>
      <c r="D18" s="15" t="s">
        <v>379</v>
      </c>
      <c r="E18" s="15" t="s">
        <v>520</v>
      </c>
      <c r="F18" s="15" t="s">
        <v>34</v>
      </c>
      <c r="G18" s="15" t="s">
        <v>34</v>
      </c>
      <c r="H18" s="15" t="s">
        <v>34</v>
      </c>
      <c r="I18" s="19" t="n">
        <v>2</v>
      </c>
      <c r="J18" s="15" t="s">
        <v>102</v>
      </c>
      <c r="K18" s="15" t="s">
        <v>521</v>
      </c>
    </row>
    <row r="19" customFormat="false" ht="15" hidden="false" customHeight="false" outlineLevel="0" collapsed="false">
      <c r="A19" s="14" t="s">
        <v>386</v>
      </c>
      <c r="B19" s="14" t="s">
        <v>519</v>
      </c>
      <c r="C19" s="14" t="s">
        <v>388</v>
      </c>
      <c r="D19" s="14" t="s">
        <v>34</v>
      </c>
      <c r="E19" s="14" t="s">
        <v>34</v>
      </c>
      <c r="F19" s="14" t="s">
        <v>34</v>
      </c>
      <c r="G19" s="14" t="s">
        <v>387</v>
      </c>
      <c r="H19" s="14" t="s">
        <v>34</v>
      </c>
      <c r="I19" s="20" t="n">
        <v>1</v>
      </c>
      <c r="J19" s="14" t="s">
        <v>279</v>
      </c>
      <c r="K19" s="14" t="s">
        <v>384</v>
      </c>
    </row>
  </sheetData>
  <mergeCells count="1">
    <mergeCell ref="A1:L1"/>
  </mergeCells>
  <conditionalFormatting sqref="J4:J100">
    <cfRule type="expression" priority="2" aboveAverage="0" equalAverage="0" bottom="0" percent="0" rank="0" text="" dxfId="8">
      <formula>$J4="Critical"</formula>
    </cfRule>
    <cfRule type="expression" priority="3" aboveAverage="0" equalAverage="0" bottom="0" percent="0" rank="0" text="" dxfId="9">
      <formula>$J4="High"</formula>
    </cfRule>
    <cfRule type="expression" priority="4" aboveAverage="0" equalAverage="0" bottom="0" percent="0" rank="0" text="" dxfId="16">
      <formula>$J4="Medium"</formula>
    </cfRule>
    <cfRule type="expression" priority="5" aboveAverage="0" equalAverage="0" bottom="0" percent="0" rank="0" text="" dxfId="22">
      <formula>$J4="Low"</formula>
    </cfRule>
    <cfRule type="expression" priority="6" aboveAverage="0" equalAverage="0" bottom="0" percent="0" rank="0" text="" dxfId="17">
      <formula>$J4="None"</formula>
    </cfRule>
  </conditionalFormatting>
  <conditionalFormatting sqref="I4:I100">
    <cfRule type="colorScale" priority="7">
      <colorScale>
        <cfvo type="num" val="0"/>
        <cfvo type="num" val="2"/>
        <cfvo type="num" val="5"/>
        <color rgb="FF38A169"/>
        <color rgb="FFD69E2E"/>
        <color rgb="FFE53E3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A169"/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25"/>
    <col collapsed="false" customWidth="true" hidden="false" outlineLevel="0" max="15" min="15" style="0" width="40"/>
  </cols>
  <sheetData>
    <row r="1" customFormat="false" ht="31.5" hidden="false" customHeight="true" outlineLevel="0" collapsed="false">
      <c r="A1" s="13" t="s">
        <v>522</v>
      </c>
      <c r="B1" s="13" t="s">
        <v>69</v>
      </c>
      <c r="C1" s="13" t="s">
        <v>70</v>
      </c>
      <c r="D1" s="13" t="s">
        <v>71</v>
      </c>
      <c r="E1" s="13" t="s">
        <v>24</v>
      </c>
      <c r="F1" s="13" t="s">
        <v>523</v>
      </c>
      <c r="G1" s="13" t="s">
        <v>524</v>
      </c>
      <c r="H1" s="13" t="s">
        <v>525</v>
      </c>
      <c r="I1" s="13" t="s">
        <v>271</v>
      </c>
      <c r="J1" s="13" t="s">
        <v>526</v>
      </c>
      <c r="K1" s="13" t="s">
        <v>527</v>
      </c>
      <c r="L1" s="13" t="s">
        <v>74</v>
      </c>
      <c r="M1" s="13" t="s">
        <v>528</v>
      </c>
      <c r="N1" s="13" t="s">
        <v>529</v>
      </c>
      <c r="O1" s="13" t="s">
        <v>135</v>
      </c>
    </row>
    <row r="2" customFormat="false" ht="15" hidden="false" customHeight="false" outlineLevel="0" collapsed="false">
      <c r="A2" s="15" t="s">
        <v>530</v>
      </c>
      <c r="B2" s="15" t="s">
        <v>79</v>
      </c>
      <c r="C2" s="15" t="s">
        <v>80</v>
      </c>
      <c r="D2" s="15" t="s">
        <v>81</v>
      </c>
      <c r="E2" s="15" t="s">
        <v>39</v>
      </c>
      <c r="F2" s="15" t="s">
        <v>82</v>
      </c>
      <c r="G2" s="15" t="s">
        <v>83</v>
      </c>
      <c r="H2" s="15" t="s">
        <v>531</v>
      </c>
      <c r="I2" s="15" t="s">
        <v>159</v>
      </c>
      <c r="J2" s="15" t="s">
        <v>532</v>
      </c>
      <c r="K2" s="15" t="s">
        <v>142</v>
      </c>
      <c r="L2" s="15" t="s">
        <v>84</v>
      </c>
      <c r="M2" s="15" t="s">
        <v>533</v>
      </c>
      <c r="N2" s="15" t="s">
        <v>534</v>
      </c>
      <c r="O2" s="15" t="s">
        <v>535</v>
      </c>
    </row>
    <row r="3" customFormat="false" ht="15" hidden="false" customHeight="false" outlineLevel="0" collapsed="false">
      <c r="A3" s="14" t="s">
        <v>536</v>
      </c>
      <c r="B3" s="14" t="s">
        <v>89</v>
      </c>
      <c r="C3" s="14" t="s">
        <v>64</v>
      </c>
      <c r="D3" s="14" t="s">
        <v>61</v>
      </c>
      <c r="E3" s="14" t="s">
        <v>47</v>
      </c>
      <c r="F3" s="14" t="s">
        <v>62</v>
      </c>
      <c r="G3" s="14" t="s">
        <v>90</v>
      </c>
      <c r="H3" s="14" t="s">
        <v>537</v>
      </c>
      <c r="I3" s="14" t="s">
        <v>147</v>
      </c>
      <c r="J3" s="14" t="s">
        <v>532</v>
      </c>
      <c r="K3" s="14" t="s">
        <v>142</v>
      </c>
      <c r="L3" s="14" t="s">
        <v>91</v>
      </c>
      <c r="M3" s="14" t="s">
        <v>538</v>
      </c>
      <c r="N3" s="14" t="s">
        <v>539</v>
      </c>
      <c r="O3" s="14" t="s">
        <v>540</v>
      </c>
    </row>
    <row r="4" customFormat="false" ht="15" hidden="false" customHeight="false" outlineLevel="0" collapsed="false">
      <c r="A4" s="15" t="s">
        <v>541</v>
      </c>
      <c r="B4" s="15" t="s">
        <v>96</v>
      </c>
      <c r="C4" s="15" t="s">
        <v>64</v>
      </c>
      <c r="D4" s="15" t="s">
        <v>97</v>
      </c>
      <c r="E4" s="15" t="s">
        <v>47</v>
      </c>
      <c r="F4" s="15" t="s">
        <v>98</v>
      </c>
      <c r="G4" s="15" t="s">
        <v>99</v>
      </c>
      <c r="H4" s="15" t="s">
        <v>542</v>
      </c>
      <c r="I4" s="15" t="s">
        <v>159</v>
      </c>
      <c r="J4" s="15" t="s">
        <v>532</v>
      </c>
      <c r="K4" s="15" t="s">
        <v>142</v>
      </c>
      <c r="L4" s="15" t="s">
        <v>100</v>
      </c>
      <c r="M4" s="15" t="s">
        <v>543</v>
      </c>
      <c r="N4" s="15" t="s">
        <v>544</v>
      </c>
      <c r="O4" s="15" t="s">
        <v>545</v>
      </c>
    </row>
    <row r="5" customFormat="false" ht="15" hidden="false" customHeight="false" outlineLevel="0" collapsed="false">
      <c r="A5" s="14" t="s">
        <v>546</v>
      </c>
      <c r="B5" s="14" t="s">
        <v>106</v>
      </c>
      <c r="C5" s="14" t="s">
        <v>80</v>
      </c>
      <c r="D5" s="14" t="s">
        <v>107</v>
      </c>
      <c r="E5" s="14" t="s">
        <v>39</v>
      </c>
      <c r="F5" s="14" t="s">
        <v>108</v>
      </c>
      <c r="G5" s="14" t="s">
        <v>109</v>
      </c>
      <c r="H5" s="14" t="s">
        <v>542</v>
      </c>
      <c r="I5" s="14" t="s">
        <v>159</v>
      </c>
      <c r="J5" s="14" t="s">
        <v>532</v>
      </c>
      <c r="K5" s="14" t="s">
        <v>142</v>
      </c>
      <c r="L5" s="14" t="s">
        <v>84</v>
      </c>
      <c r="M5" s="14" t="s">
        <v>547</v>
      </c>
      <c r="N5" s="14" t="s">
        <v>548</v>
      </c>
      <c r="O5" s="14" t="s">
        <v>549</v>
      </c>
    </row>
    <row r="6" customFormat="false" ht="15" hidden="false" customHeight="false" outlineLevel="0" collapsed="false">
      <c r="A6" s="15" t="s">
        <v>550</v>
      </c>
      <c r="B6" s="15" t="s">
        <v>551</v>
      </c>
      <c r="C6" s="15" t="s">
        <v>51</v>
      </c>
      <c r="D6" s="15" t="s">
        <v>331</v>
      </c>
      <c r="E6" s="15" t="s">
        <v>39</v>
      </c>
      <c r="F6" s="15" t="s">
        <v>552</v>
      </c>
      <c r="G6" s="15" t="s">
        <v>332</v>
      </c>
      <c r="H6" s="15" t="s">
        <v>542</v>
      </c>
      <c r="I6" s="15" t="s">
        <v>159</v>
      </c>
      <c r="J6" s="15" t="s">
        <v>532</v>
      </c>
      <c r="K6" s="15" t="s">
        <v>142</v>
      </c>
      <c r="L6" s="15" t="s">
        <v>553</v>
      </c>
      <c r="M6" s="15" t="s">
        <v>554</v>
      </c>
      <c r="N6" s="15" t="s">
        <v>555</v>
      </c>
      <c r="O6" s="15" t="s">
        <v>556</v>
      </c>
    </row>
    <row r="7" customFormat="false" ht="15" hidden="false" customHeight="false" outlineLevel="0" collapsed="false">
      <c r="A7" s="14" t="s">
        <v>557</v>
      </c>
      <c r="B7" s="14" t="s">
        <v>558</v>
      </c>
      <c r="C7" s="14" t="s">
        <v>173</v>
      </c>
      <c r="D7" s="14" t="s">
        <v>326</v>
      </c>
      <c r="E7" s="14" t="s">
        <v>47</v>
      </c>
      <c r="F7" s="14" t="s">
        <v>559</v>
      </c>
      <c r="G7" s="14" t="s">
        <v>328</v>
      </c>
      <c r="H7" s="14" t="s">
        <v>531</v>
      </c>
      <c r="I7" s="14" t="s">
        <v>159</v>
      </c>
      <c r="J7" s="14" t="s">
        <v>532</v>
      </c>
      <c r="K7" s="14" t="s">
        <v>560</v>
      </c>
      <c r="L7" s="14" t="s">
        <v>561</v>
      </c>
      <c r="M7" s="14" t="s">
        <v>562</v>
      </c>
      <c r="N7" s="14" t="s">
        <v>563</v>
      </c>
      <c r="O7" s="14" t="s">
        <v>564</v>
      </c>
    </row>
  </sheetData>
  <autoFilter ref="A1:O7"/>
  <conditionalFormatting sqref="J2:J1000">
    <cfRule type="expression" priority="2" aboveAverage="0" equalAverage="0" bottom="0" percent="0" rank="0" text="" dxfId="17">
      <formula>$J2="Passed"</formula>
    </cfRule>
    <cfRule type="expression" priority="3" aboveAverage="0" equalAverage="0" bottom="0" percent="0" rank="0" text="" dxfId="8">
      <formula>$J2="Failed"</formula>
    </cfRule>
    <cfRule type="expression" priority="4" aboveAverage="0" equalAverage="0" bottom="0" percent="0" rank="0" text="" dxfId="16">
      <formula>$J2="In Progress"</formula>
    </cfRule>
  </conditionalFormatting>
  <dataValidations count="5">
    <dataValidation allowBlank="true" error="Please select from the list" errorStyle="stop" errorTitle="Invalid Entry" operator="between" showDropDown="false" showErrorMessage="false" showInputMessage="false" sqref="E2:E1000" type="list">
      <formula1>"Dependency,Framework,Runtime,Database,Tool"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H2:H1000" type="list">
      <formula1>"Major,Minor,Patch,Security"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I2:I1000" type="list">
      <formula1>"Yes,No,Unknown"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J2:J1000" type="list">
      <formula1>"Pending,In Progress,Passed,Failed"</formula1>
      <formula2>0</formula2>
    </dataValidation>
    <dataValidation allowBlank="true" error="Please select from the list" errorStyle="stop" errorTitle="Invalid Entry" operator="between" showDropDown="false" showErrorMessage="false" showInputMessage="false" sqref="K2:K1000" type="list">
      <formula1>"Development,Staging,Production,All"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299E1"/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12"/>
    <col collapsed="false" customWidth="true" hidden="false" outlineLevel="0" max="5" min="5" style="0" width="5"/>
    <col collapsed="false" customWidth="true" hidden="false" outlineLevel="0" max="6" min="6" style="0" width="20"/>
    <col collapsed="false" customWidth="true" hidden="false" outlineLevel="0" max="7" min="7" style="0" width="50"/>
  </cols>
  <sheetData>
    <row r="1" customFormat="false" ht="27.75" hidden="false" customHeight="true" outlineLevel="0" collapsed="false">
      <c r="A1" s="3" t="s">
        <v>565</v>
      </c>
      <c r="B1" s="3"/>
      <c r="C1" s="3"/>
      <c r="D1" s="3"/>
    </row>
    <row r="3" customFormat="false" ht="15" hidden="false" customHeight="false" outlineLevel="0" collapsed="false">
      <c r="A3" s="23" t="s">
        <v>566</v>
      </c>
      <c r="F3" s="23" t="s">
        <v>567</v>
      </c>
    </row>
    <row r="4" customFormat="false" ht="31.5" hidden="false" customHeight="true" outlineLevel="0" collapsed="false">
      <c r="A4" s="13" t="s">
        <v>76</v>
      </c>
      <c r="B4" s="13" t="s">
        <v>568</v>
      </c>
      <c r="C4" s="13" t="s">
        <v>569</v>
      </c>
      <c r="D4" s="13" t="s">
        <v>570</v>
      </c>
      <c r="F4" s="24" t="s">
        <v>571</v>
      </c>
      <c r="G4" s="25" t="s">
        <v>572</v>
      </c>
    </row>
    <row r="5" customFormat="false" ht="15" hidden="false" customHeight="false" outlineLevel="0" collapsed="false">
      <c r="A5" s="14" t="s">
        <v>9</v>
      </c>
      <c r="B5" s="14" t="s">
        <v>573</v>
      </c>
      <c r="C5" s="14" t="s">
        <v>574</v>
      </c>
      <c r="D5" s="14"/>
      <c r="F5" s="24" t="s">
        <v>401</v>
      </c>
      <c r="G5" s="25" t="s">
        <v>575</v>
      </c>
    </row>
    <row r="6" customFormat="false" ht="15" hidden="false" customHeight="false" outlineLevel="0" collapsed="false">
      <c r="A6" s="15" t="s">
        <v>10</v>
      </c>
      <c r="B6" s="15" t="s">
        <v>576</v>
      </c>
      <c r="C6" s="15" t="s">
        <v>577</v>
      </c>
      <c r="D6" s="15"/>
      <c r="F6" s="24" t="s">
        <v>578</v>
      </c>
      <c r="G6" s="25" t="s">
        <v>579</v>
      </c>
    </row>
    <row r="7" customFormat="false" ht="15" hidden="false" customHeight="false" outlineLevel="0" collapsed="false">
      <c r="A7" s="14" t="s">
        <v>102</v>
      </c>
      <c r="B7" s="14" t="s">
        <v>580</v>
      </c>
      <c r="C7" s="14" t="s">
        <v>581</v>
      </c>
      <c r="D7" s="14"/>
      <c r="F7" s="24" t="s">
        <v>582</v>
      </c>
      <c r="G7" s="25" t="s">
        <v>583</v>
      </c>
    </row>
    <row r="8" customFormat="false" ht="15" hidden="false" customHeight="false" outlineLevel="0" collapsed="false">
      <c r="A8" s="15" t="s">
        <v>279</v>
      </c>
      <c r="B8" s="15" t="s">
        <v>584</v>
      </c>
      <c r="C8" s="15" t="s">
        <v>585</v>
      </c>
      <c r="D8" s="15"/>
      <c r="F8" s="24" t="s">
        <v>586</v>
      </c>
      <c r="G8" s="25" t="s">
        <v>587</v>
      </c>
    </row>
    <row r="9" customFormat="false" ht="15" hidden="false" customHeight="false" outlineLevel="0" collapsed="false">
      <c r="A9" s="14" t="s">
        <v>588</v>
      </c>
      <c r="B9" s="14" t="s">
        <v>589</v>
      </c>
      <c r="C9" s="14" t="s">
        <v>590</v>
      </c>
      <c r="D9" s="14"/>
      <c r="F9" s="24" t="s">
        <v>591</v>
      </c>
      <c r="G9" s="25" t="s">
        <v>592</v>
      </c>
    </row>
    <row r="10" customFormat="false" ht="15" hidden="false" customHeight="false" outlineLevel="0" collapsed="false">
      <c r="F10" s="0" t="s">
        <v>593</v>
      </c>
      <c r="G10" s="25" t="s">
        <v>594</v>
      </c>
    </row>
    <row r="12" customFormat="false" ht="15" hidden="false" customHeight="false" outlineLevel="0" collapsed="false">
      <c r="A12" s="23" t="s">
        <v>595</v>
      </c>
    </row>
    <row r="13" customFormat="false" ht="31.5" hidden="false" customHeight="true" outlineLevel="0" collapsed="false">
      <c r="A13" s="13" t="s">
        <v>120</v>
      </c>
      <c r="B13" s="13" t="s">
        <v>116</v>
      </c>
      <c r="C13" s="13" t="s">
        <v>29</v>
      </c>
    </row>
    <row r="14" customFormat="false" ht="28.35" hidden="false" customHeight="false" outlineLevel="0" collapsed="false">
      <c r="A14" s="15" t="s">
        <v>18</v>
      </c>
      <c r="B14" s="15" t="s">
        <v>596</v>
      </c>
      <c r="C14" s="15" t="s">
        <v>597</v>
      </c>
    </row>
    <row r="15" customFormat="false" ht="28.35" hidden="false" customHeight="false" outlineLevel="0" collapsed="false">
      <c r="A15" s="14" t="s">
        <v>15</v>
      </c>
      <c r="B15" s="14" t="s">
        <v>598</v>
      </c>
      <c r="C15" s="14" t="s">
        <v>599</v>
      </c>
    </row>
    <row r="16" customFormat="false" ht="28.35" hidden="false" customHeight="false" outlineLevel="0" collapsed="false">
      <c r="A16" s="15" t="s">
        <v>9</v>
      </c>
      <c r="B16" s="15" t="s">
        <v>600</v>
      </c>
      <c r="C16" s="15" t="s">
        <v>601</v>
      </c>
    </row>
    <row r="17" customFormat="false" ht="15" hidden="false" customHeight="false" outlineLevel="0" collapsed="false">
      <c r="A17" s="14" t="s">
        <v>602</v>
      </c>
      <c r="B17" s="14" t="s">
        <v>603</v>
      </c>
      <c r="C17" s="14" t="s">
        <v>604</v>
      </c>
    </row>
    <row r="20" customFormat="false" ht="15" hidden="false" customHeight="false" outlineLevel="0" collapsed="false">
      <c r="A20" s="23" t="s">
        <v>605</v>
      </c>
    </row>
    <row r="21" customFormat="false" ht="31.5" hidden="false" customHeight="true" outlineLevel="0" collapsed="false">
      <c r="A21" s="13" t="s">
        <v>24</v>
      </c>
      <c r="B21" s="13" t="s">
        <v>268</v>
      </c>
      <c r="C21" s="13" t="s">
        <v>606</v>
      </c>
    </row>
    <row r="22" customFormat="false" ht="15" hidden="false" customHeight="false" outlineLevel="0" collapsed="false">
      <c r="A22" s="15" t="s">
        <v>274</v>
      </c>
      <c r="B22" s="15" t="s">
        <v>280</v>
      </c>
      <c r="C22" s="15" t="s">
        <v>607</v>
      </c>
    </row>
    <row r="23" customFormat="false" ht="15" hidden="false" customHeight="false" outlineLevel="0" collapsed="false">
      <c r="A23" s="14" t="s">
        <v>292</v>
      </c>
      <c r="B23" s="14" t="s">
        <v>608</v>
      </c>
      <c r="C23" s="14" t="s">
        <v>609</v>
      </c>
    </row>
    <row r="24" customFormat="false" ht="15" hidden="false" customHeight="false" outlineLevel="0" collapsed="false">
      <c r="A24" s="15" t="s">
        <v>310</v>
      </c>
      <c r="B24" s="15" t="s">
        <v>313</v>
      </c>
      <c r="C24" s="15" t="s">
        <v>511</v>
      </c>
    </row>
    <row r="25" customFormat="false" ht="15" hidden="false" customHeight="false" outlineLevel="0" collapsed="false">
      <c r="A25" s="14" t="s">
        <v>327</v>
      </c>
      <c r="B25" s="14" t="s">
        <v>329</v>
      </c>
      <c r="C25" s="14" t="s">
        <v>610</v>
      </c>
    </row>
    <row r="26" customFormat="false" ht="15" hidden="false" customHeight="false" outlineLevel="0" collapsed="false">
      <c r="A26" s="15" t="s">
        <v>611</v>
      </c>
      <c r="B26" s="15" t="s">
        <v>612</v>
      </c>
      <c r="C26" s="15" t="s">
        <v>613</v>
      </c>
    </row>
    <row r="27" customFormat="false" ht="15" hidden="false" customHeight="false" outlineLevel="0" collapsed="false">
      <c r="A27" s="14" t="s">
        <v>614</v>
      </c>
      <c r="B27" s="14" t="s">
        <v>615</v>
      </c>
      <c r="C27" s="14" t="s">
        <v>616</v>
      </c>
    </row>
    <row r="28" customFormat="false" ht="15" hidden="false" customHeight="false" outlineLevel="0" collapsed="false">
      <c r="A28" s="15" t="s">
        <v>617</v>
      </c>
      <c r="B28" s="15" t="s">
        <v>618</v>
      </c>
      <c r="C28" s="15" t="s">
        <v>619</v>
      </c>
    </row>
    <row r="29" customFormat="false" ht="15" hidden="false" customHeight="false" outlineLevel="0" collapsed="false">
      <c r="A29" s="14" t="s">
        <v>620</v>
      </c>
      <c r="B29" s="14" t="s">
        <v>621</v>
      </c>
      <c r="C29" s="14" t="s">
        <v>622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2025-12-11T19:14:21Z</dcterms:created>
  <dc:creator>openpyxl</dc:creator>
  <dc:description/>
  <dc:language>en-US</dc:language>
  <cp:lastModifiedBy/>
  <dcterms:modified xsi:type="dcterms:W3CDTF">2025-12-11T19:14:22Z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